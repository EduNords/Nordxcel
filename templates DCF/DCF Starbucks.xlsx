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ietromanfredi/Desktop/My stuff/Excel/DCFS/"/>
    </mc:Choice>
  </mc:AlternateContent>
  <xr:revisionPtr revIDLastSave="0" documentId="13_ncr:1_{8465FFBA-AEB6-5A45-89DA-83030FD9279A}" xr6:coauthVersionLast="47" xr6:coauthVersionMax="47" xr10:uidLastSave="{00000000-0000-0000-0000-000000000000}"/>
  <bookViews>
    <workbookView xWindow="0" yWindow="720" windowWidth="29400" windowHeight="18400" activeTab="1" xr2:uid="{D465D018-EDD6-EC45-8E32-800FB69E8BB2}"/>
  </bookViews>
  <sheets>
    <sheet name="Legend" sheetId="11" r:id="rId1"/>
    <sheet name="Comp analysis" sheetId="13" r:id="rId2"/>
    <sheet name="WACC" sheetId="12" r:id="rId3"/>
    <sheet name="DCF model" sheetId="3" r:id="rId4"/>
    <sheet name="RAW DATA &gt;&gt;" sheetId="7" r:id="rId5"/>
    <sheet name="CFS" sheetId="6" r:id="rId6"/>
    <sheet name="BS" sheetId="4" r:id="rId7"/>
    <sheet name="IS" sheetId="5" r:id="rId8"/>
    <sheet name="IS Estimates" sheetId="8" r:id="rId9"/>
    <sheet name="BS Estimates" sheetId="9" r:id="rId10"/>
    <sheet name="CFS Estimates" sheetId="10" r:id="rId11"/>
  </sheets>
  <definedNames>
    <definedName name="Beta_e">WACC!$D$9</definedName>
    <definedName name="D">WACC!$D$14</definedName>
    <definedName name="E">WACC!$D$13</definedName>
    <definedName name="Equity_ratio">WACC!$D$15</definedName>
    <definedName name="Leverage">WACC!$D$16</definedName>
    <definedName name="MRP">WACC!$D$11</definedName>
    <definedName name="Rd">WACC!$D$18</definedName>
    <definedName name="Re">WACC!$D$8</definedName>
    <definedName name="Rf">WACC!$D$10</definedName>
    <definedName name="scenario">'DCF model'!$C$18</definedName>
    <definedName name="Tax_shield">WACC!$D$19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3" l="1"/>
  <c r="C24" i="13"/>
  <c r="C23" i="13"/>
  <c r="C20" i="13"/>
  <c r="C18" i="13"/>
  <c r="C17" i="13"/>
  <c r="C80" i="13" s="1"/>
  <c r="C82" i="13" s="1"/>
  <c r="C112" i="13"/>
  <c r="C111" i="13"/>
  <c r="C109" i="13"/>
  <c r="C97" i="13"/>
  <c r="C95" i="13"/>
  <c r="C81" i="13"/>
  <c r="C59" i="13"/>
  <c r="C52" i="13"/>
  <c r="C37" i="13"/>
  <c r="C51" i="13" s="1"/>
  <c r="C62" i="13"/>
  <c r="C43" i="13"/>
  <c r="C42" i="13"/>
  <c r="B63" i="13"/>
  <c r="B62" i="13"/>
  <c r="B61" i="13"/>
  <c r="B60" i="13"/>
  <c r="B59" i="13"/>
  <c r="O80" i="3"/>
  <c r="N80" i="3"/>
  <c r="M80" i="3"/>
  <c r="L80" i="3"/>
  <c r="K80" i="3"/>
  <c r="J80" i="3"/>
  <c r="I80" i="3"/>
  <c r="H80" i="3"/>
  <c r="G80" i="3"/>
  <c r="F80" i="3"/>
  <c r="Q79" i="3"/>
  <c r="R79" i="3"/>
  <c r="S79" i="3"/>
  <c r="T79" i="3"/>
  <c r="U79" i="3"/>
  <c r="P79" i="3"/>
  <c r="G79" i="3"/>
  <c r="H79" i="3"/>
  <c r="I79" i="3"/>
  <c r="J79" i="3"/>
  <c r="K79" i="3"/>
  <c r="L79" i="3"/>
  <c r="M79" i="3"/>
  <c r="N79" i="3"/>
  <c r="O79" i="3"/>
  <c r="F79" i="3"/>
  <c r="U111" i="3"/>
  <c r="U110" i="3"/>
  <c r="C20" i="3"/>
  <c r="C19" i="3"/>
  <c r="D18" i="12"/>
  <c r="D8" i="12"/>
  <c r="L24" i="5"/>
  <c r="D14" i="12"/>
  <c r="D16" i="12" s="1"/>
  <c r="C10" i="3"/>
  <c r="P101" i="3" s="1"/>
  <c r="Q100" i="3"/>
  <c r="R100" i="3" s="1"/>
  <c r="S100" i="3" s="1"/>
  <c r="T100" i="3" s="1"/>
  <c r="U100" i="3" s="1"/>
  <c r="Q93" i="3"/>
  <c r="Q90" i="3" s="1"/>
  <c r="R93" i="3"/>
  <c r="R90" i="3" s="1"/>
  <c r="S93" i="3"/>
  <c r="S90" i="3" s="1"/>
  <c r="T93" i="3"/>
  <c r="T90" i="3" s="1"/>
  <c r="U93" i="3"/>
  <c r="U90" i="3" s="1"/>
  <c r="P93" i="3"/>
  <c r="P90" i="3" s="1"/>
  <c r="Q91" i="3"/>
  <c r="R91" i="3"/>
  <c r="S91" i="3"/>
  <c r="T91" i="3"/>
  <c r="U91" i="3"/>
  <c r="P91" i="3"/>
  <c r="U74" i="3"/>
  <c r="U71" i="3" s="1"/>
  <c r="U72" i="3"/>
  <c r="P74" i="3"/>
  <c r="P71" i="3" s="1"/>
  <c r="P72" i="3"/>
  <c r="Q72" i="3" s="1"/>
  <c r="R72" i="3" s="1"/>
  <c r="S72" i="3" s="1"/>
  <c r="T72" i="3" s="1"/>
  <c r="U68" i="3"/>
  <c r="U65" i="3" s="1"/>
  <c r="U66" i="3"/>
  <c r="P68" i="3"/>
  <c r="P65" i="3" s="1"/>
  <c r="P66" i="3"/>
  <c r="P50" i="3"/>
  <c r="P46" i="3"/>
  <c r="P41" i="3"/>
  <c r="P38" i="3"/>
  <c r="P32" i="3"/>
  <c r="P35" i="3"/>
  <c r="Q35" i="3"/>
  <c r="R35" i="3"/>
  <c r="S35" i="3"/>
  <c r="T35" i="3"/>
  <c r="U35" i="3"/>
  <c r="L2" i="8"/>
  <c r="C2" i="8"/>
  <c r="D2" i="8"/>
  <c r="E2" i="8"/>
  <c r="F2" i="8"/>
  <c r="G2" i="8"/>
  <c r="H2" i="8"/>
  <c r="I2" i="8"/>
  <c r="J2" i="8"/>
  <c r="K2" i="8"/>
  <c r="B2" i="8"/>
  <c r="C98" i="13" l="1"/>
  <c r="C68" i="13"/>
  <c r="C69" i="13"/>
  <c r="C114" i="13"/>
  <c r="C100" i="13"/>
  <c r="C45" i="13"/>
  <c r="C60" i="13"/>
  <c r="C38" i="13"/>
  <c r="P102" i="3"/>
  <c r="Q102" i="3" s="1"/>
  <c r="R102" i="3" s="1"/>
  <c r="S102" i="3" s="1"/>
  <c r="T102" i="3" s="1"/>
  <c r="U102" i="3" s="1"/>
  <c r="Q101" i="3"/>
  <c r="R101" i="3" s="1"/>
  <c r="S101" i="3" s="1"/>
  <c r="T101" i="3" s="1"/>
  <c r="U101" i="3" s="1"/>
  <c r="D15" i="12"/>
  <c r="P42" i="3"/>
  <c r="P77" i="3" s="1"/>
  <c r="D19" i="12" s="1"/>
  <c r="D21" i="12" s="1"/>
  <c r="H18" i="3" s="1"/>
  <c r="P36" i="3"/>
  <c r="P67" i="3" s="1"/>
  <c r="G53" i="3"/>
  <c r="G95" i="3" s="1"/>
  <c r="H53" i="3"/>
  <c r="H95" i="3" s="1"/>
  <c r="I53" i="3"/>
  <c r="I95" i="3" s="1"/>
  <c r="J53" i="3"/>
  <c r="J95" i="3" s="1"/>
  <c r="K53" i="3"/>
  <c r="K95" i="3" s="1"/>
  <c r="L53" i="3"/>
  <c r="L95" i="3" s="1"/>
  <c r="M53" i="3"/>
  <c r="M95" i="3" s="1"/>
  <c r="N53" i="3"/>
  <c r="N95" i="3" s="1"/>
  <c r="O53" i="3"/>
  <c r="O95" i="3" s="1"/>
  <c r="F53" i="3"/>
  <c r="F95" i="3" s="1"/>
  <c r="Q50" i="3"/>
  <c r="R50" i="3"/>
  <c r="S50" i="3"/>
  <c r="G50" i="3"/>
  <c r="G89" i="3" s="1"/>
  <c r="H50" i="3"/>
  <c r="H89" i="3" s="1"/>
  <c r="I50" i="3"/>
  <c r="I89" i="3" s="1"/>
  <c r="J50" i="3"/>
  <c r="J89" i="3" s="1"/>
  <c r="K50" i="3"/>
  <c r="K89" i="3" s="1"/>
  <c r="L50" i="3"/>
  <c r="L89" i="3" s="1"/>
  <c r="M50" i="3"/>
  <c r="M89" i="3" s="1"/>
  <c r="N50" i="3"/>
  <c r="N89" i="3" s="1"/>
  <c r="O50" i="3"/>
  <c r="O89" i="3" s="1"/>
  <c r="F50" i="3"/>
  <c r="F89" i="3" s="1"/>
  <c r="F46" i="3"/>
  <c r="F86" i="3" s="1"/>
  <c r="Q46" i="3"/>
  <c r="R46" i="3"/>
  <c r="S46" i="3"/>
  <c r="T46" i="3"/>
  <c r="U46" i="3"/>
  <c r="G46" i="3"/>
  <c r="G86" i="3" s="1"/>
  <c r="H46" i="3"/>
  <c r="H86" i="3" s="1"/>
  <c r="I46" i="3"/>
  <c r="I86" i="3" s="1"/>
  <c r="J46" i="3"/>
  <c r="J86" i="3" s="1"/>
  <c r="K46" i="3"/>
  <c r="K86" i="3" s="1"/>
  <c r="L46" i="3"/>
  <c r="L86" i="3" s="1"/>
  <c r="M46" i="3"/>
  <c r="M86" i="3" s="1"/>
  <c r="N46" i="3"/>
  <c r="N86" i="3" s="1"/>
  <c r="O46" i="3"/>
  <c r="O86" i="3" s="1"/>
  <c r="N41" i="3"/>
  <c r="N76" i="3" s="1"/>
  <c r="Q41" i="3"/>
  <c r="R41" i="3"/>
  <c r="S41" i="3"/>
  <c r="T41" i="3"/>
  <c r="U41" i="3"/>
  <c r="G41" i="3"/>
  <c r="G76" i="3" s="1"/>
  <c r="H41" i="3"/>
  <c r="H76" i="3" s="1"/>
  <c r="I41" i="3"/>
  <c r="I76" i="3" s="1"/>
  <c r="J41" i="3"/>
  <c r="J76" i="3" s="1"/>
  <c r="K41" i="3"/>
  <c r="K76" i="3" s="1"/>
  <c r="L41" i="3"/>
  <c r="L76" i="3" s="1"/>
  <c r="M41" i="3"/>
  <c r="M76" i="3" s="1"/>
  <c r="O41" i="3"/>
  <c r="O76" i="3" s="1"/>
  <c r="F41" i="3"/>
  <c r="F76" i="3" s="1"/>
  <c r="Q38" i="3"/>
  <c r="R38" i="3"/>
  <c r="S38" i="3"/>
  <c r="T38" i="3"/>
  <c r="U38" i="3"/>
  <c r="G38" i="3"/>
  <c r="G70" i="3" s="1"/>
  <c r="H38" i="3"/>
  <c r="H70" i="3" s="1"/>
  <c r="I38" i="3"/>
  <c r="I70" i="3" s="1"/>
  <c r="J38" i="3"/>
  <c r="J70" i="3" s="1"/>
  <c r="K38" i="3"/>
  <c r="K70" i="3" s="1"/>
  <c r="L38" i="3"/>
  <c r="L70" i="3" s="1"/>
  <c r="M38" i="3"/>
  <c r="M70" i="3" s="1"/>
  <c r="N38" i="3"/>
  <c r="N70" i="3" s="1"/>
  <c r="O38" i="3"/>
  <c r="O70" i="3" s="1"/>
  <c r="F38" i="3"/>
  <c r="F70" i="3" s="1"/>
  <c r="G35" i="3"/>
  <c r="G64" i="3" s="1"/>
  <c r="H35" i="3"/>
  <c r="H64" i="3" s="1"/>
  <c r="I35" i="3"/>
  <c r="I64" i="3" s="1"/>
  <c r="J35" i="3"/>
  <c r="J64" i="3" s="1"/>
  <c r="K35" i="3"/>
  <c r="K64" i="3" s="1"/>
  <c r="L35" i="3"/>
  <c r="L64" i="3" s="1"/>
  <c r="M35" i="3"/>
  <c r="M64" i="3" s="1"/>
  <c r="N35" i="3"/>
  <c r="N64" i="3" s="1"/>
  <c r="O35" i="3"/>
  <c r="F35" i="3"/>
  <c r="F64" i="3" s="1"/>
  <c r="Q32" i="3"/>
  <c r="Q36" i="3" s="1"/>
  <c r="Q67" i="3" s="1"/>
  <c r="R32" i="3"/>
  <c r="R36" i="3" s="1"/>
  <c r="R67" i="3" s="1"/>
  <c r="S32" i="3"/>
  <c r="T32" i="3"/>
  <c r="T33" i="3" s="1"/>
  <c r="T61" i="3" s="1"/>
  <c r="U32" i="3"/>
  <c r="U36" i="3" s="1"/>
  <c r="U67" i="3" s="1"/>
  <c r="G32" i="3"/>
  <c r="H32" i="3"/>
  <c r="H58" i="3" s="1"/>
  <c r="I32" i="3"/>
  <c r="J32" i="3"/>
  <c r="J58" i="3" s="1"/>
  <c r="K32" i="3"/>
  <c r="L32" i="3"/>
  <c r="M32" i="3"/>
  <c r="M58" i="3" s="1"/>
  <c r="N32" i="3"/>
  <c r="N58" i="3" s="1"/>
  <c r="O32" i="3"/>
  <c r="F32" i="3"/>
  <c r="F58" i="3" s="1"/>
  <c r="C6" i="3"/>
  <c r="G1" i="3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S1" i="3" s="1"/>
  <c r="T1" i="3" s="1"/>
  <c r="U1" i="3" s="1"/>
  <c r="Q68" i="3" s="1"/>
  <c r="B38" i="8"/>
  <c r="L38" i="8"/>
  <c r="K38" i="8"/>
  <c r="J38" i="8"/>
  <c r="I38" i="8"/>
  <c r="H38" i="8"/>
  <c r="G38" i="8"/>
  <c r="F38" i="8"/>
  <c r="E38" i="8"/>
  <c r="D38" i="8"/>
  <c r="C38" i="8"/>
  <c r="C70" i="13" l="1"/>
  <c r="O77" i="3"/>
  <c r="M87" i="3"/>
  <c r="M90" i="3"/>
  <c r="O64" i="3"/>
  <c r="O58" i="3"/>
  <c r="O90" i="3" s="1"/>
  <c r="F90" i="3"/>
  <c r="M96" i="3"/>
  <c r="H83" i="3"/>
  <c r="H84" i="3" s="1"/>
  <c r="J87" i="3"/>
  <c r="J90" i="3"/>
  <c r="O96" i="3"/>
  <c r="F83" i="3"/>
  <c r="F84" i="3" s="1"/>
  <c r="J96" i="3"/>
  <c r="G83" i="3"/>
  <c r="F96" i="3"/>
  <c r="H96" i="3"/>
  <c r="N96" i="3"/>
  <c r="H87" i="3"/>
  <c r="H90" i="3"/>
  <c r="F87" i="3"/>
  <c r="N87" i="3"/>
  <c r="N90" i="3"/>
  <c r="Q74" i="3"/>
  <c r="L33" i="3"/>
  <c r="K77" i="3"/>
  <c r="T36" i="3"/>
  <c r="T67" i="3" s="1"/>
  <c r="Q65" i="3"/>
  <c r="R68" i="3"/>
  <c r="S39" i="3"/>
  <c r="S73" i="3" s="1"/>
  <c r="S36" i="3"/>
  <c r="S67" i="3" s="1"/>
  <c r="I39" i="3"/>
  <c r="Q66" i="3"/>
  <c r="R66" i="3" s="1"/>
  <c r="S66" i="3" s="1"/>
  <c r="T66" i="3" s="1"/>
  <c r="K47" i="3"/>
  <c r="K33" i="3"/>
  <c r="J47" i="3"/>
  <c r="Q51" i="3"/>
  <c r="Q92" i="3" s="1"/>
  <c r="I54" i="3"/>
  <c r="N47" i="3"/>
  <c r="I51" i="3"/>
  <c r="M47" i="3"/>
  <c r="T42" i="3"/>
  <c r="T77" i="3" s="1"/>
  <c r="L47" i="3"/>
  <c r="J77" i="3"/>
  <c r="G54" i="3"/>
  <c r="K51" i="3"/>
  <c r="P47" i="3"/>
  <c r="N65" i="3"/>
  <c r="M77" i="3"/>
  <c r="N51" i="3"/>
  <c r="P51" i="3"/>
  <c r="P92" i="3" s="1"/>
  <c r="L54" i="3"/>
  <c r="L58" i="3"/>
  <c r="L87" i="3" s="1"/>
  <c r="L77" i="3"/>
  <c r="T47" i="3"/>
  <c r="H77" i="3"/>
  <c r="H47" i="3"/>
  <c r="R47" i="3"/>
  <c r="M51" i="3"/>
  <c r="S51" i="3"/>
  <c r="S92" i="3" s="1"/>
  <c r="K54" i="3"/>
  <c r="K58" i="3"/>
  <c r="K65" i="3" s="1"/>
  <c r="M65" i="3"/>
  <c r="U47" i="3"/>
  <c r="N59" i="3"/>
  <c r="I77" i="3"/>
  <c r="O51" i="3"/>
  <c r="M54" i="3"/>
  <c r="O47" i="3"/>
  <c r="G47" i="3"/>
  <c r="Q47" i="3"/>
  <c r="L51" i="3"/>
  <c r="R51" i="3"/>
  <c r="R92" i="3" s="1"/>
  <c r="J54" i="3"/>
  <c r="N83" i="3"/>
  <c r="N84" i="3" s="1"/>
  <c r="N71" i="3"/>
  <c r="M83" i="3"/>
  <c r="M84" i="3" s="1"/>
  <c r="M71" i="3"/>
  <c r="O83" i="3"/>
  <c r="N77" i="3"/>
  <c r="J71" i="3"/>
  <c r="F65" i="3"/>
  <c r="H65" i="3"/>
  <c r="F71" i="3"/>
  <c r="H71" i="3"/>
  <c r="F77" i="3"/>
  <c r="G77" i="3"/>
  <c r="J65" i="3"/>
  <c r="G51" i="3"/>
  <c r="O54" i="3"/>
  <c r="G58" i="3"/>
  <c r="G59" i="3" s="1"/>
  <c r="F54" i="3"/>
  <c r="L83" i="3"/>
  <c r="F36" i="3"/>
  <c r="F51" i="3"/>
  <c r="I83" i="3"/>
  <c r="S42" i="3"/>
  <c r="S77" i="3" s="1"/>
  <c r="I47" i="3"/>
  <c r="S47" i="3"/>
  <c r="H54" i="3"/>
  <c r="J51" i="3"/>
  <c r="I58" i="3"/>
  <c r="I59" i="3" s="1"/>
  <c r="F47" i="3"/>
  <c r="K83" i="3"/>
  <c r="J83" i="3"/>
  <c r="J84" i="3" s="1"/>
  <c r="H51" i="3"/>
  <c r="N54" i="3"/>
  <c r="G36" i="3"/>
  <c r="O36" i="3"/>
  <c r="N39" i="3"/>
  <c r="P39" i="3"/>
  <c r="P73" i="3" s="1"/>
  <c r="J33" i="3"/>
  <c r="R33" i="3"/>
  <c r="R61" i="3" s="1"/>
  <c r="H33" i="3"/>
  <c r="H36" i="3"/>
  <c r="O42" i="3"/>
  <c r="K36" i="3"/>
  <c r="J36" i="3"/>
  <c r="J42" i="3"/>
  <c r="U42" i="3"/>
  <c r="U77" i="3" s="1"/>
  <c r="K42" i="3"/>
  <c r="S33" i="3"/>
  <c r="S61" i="3" s="1"/>
  <c r="R39" i="3"/>
  <c r="R73" i="3" s="1"/>
  <c r="I42" i="3"/>
  <c r="N33" i="3"/>
  <c r="F42" i="3"/>
  <c r="H39" i="3"/>
  <c r="I33" i="3"/>
  <c r="G42" i="3"/>
  <c r="O39" i="3"/>
  <c r="G39" i="3"/>
  <c r="N36" i="3"/>
  <c r="K39" i="3"/>
  <c r="H42" i="3"/>
  <c r="L39" i="3"/>
  <c r="P33" i="3"/>
  <c r="P61" i="3" s="1"/>
  <c r="M36" i="3"/>
  <c r="J39" i="3"/>
  <c r="T39" i="3"/>
  <c r="T73" i="3" s="1"/>
  <c r="M42" i="3"/>
  <c r="R42" i="3"/>
  <c r="R77" i="3" s="1"/>
  <c r="Q42" i="3"/>
  <c r="Q77" i="3" s="1"/>
  <c r="Q39" i="3"/>
  <c r="Q73" i="3" s="1"/>
  <c r="F39" i="3"/>
  <c r="M33" i="3"/>
  <c r="U33" i="3"/>
  <c r="U61" i="3" s="1"/>
  <c r="Q33" i="3"/>
  <c r="Q61" i="3" s="1"/>
  <c r="L36" i="3"/>
  <c r="N42" i="3"/>
  <c r="O33" i="3"/>
  <c r="M39" i="3"/>
  <c r="U39" i="3"/>
  <c r="U73" i="3" s="1"/>
  <c r="I36" i="3"/>
  <c r="L42" i="3"/>
  <c r="G33" i="3"/>
  <c r="C53" i="13" l="1"/>
  <c r="C57" i="13" s="1"/>
  <c r="L96" i="3"/>
  <c r="O71" i="3"/>
  <c r="O84" i="3"/>
  <c r="O87" i="3"/>
  <c r="O65" i="3"/>
  <c r="O59" i="3"/>
  <c r="P96" i="3"/>
  <c r="L71" i="3"/>
  <c r="K87" i="3"/>
  <c r="G96" i="3"/>
  <c r="K90" i="3"/>
  <c r="L90" i="3"/>
  <c r="I96" i="3"/>
  <c r="K96" i="3"/>
  <c r="I90" i="3"/>
  <c r="I87" i="3"/>
  <c r="L59" i="3"/>
  <c r="G90" i="3"/>
  <c r="R74" i="3"/>
  <c r="Q71" i="3"/>
  <c r="G87" i="3"/>
  <c r="K84" i="3"/>
  <c r="S68" i="3"/>
  <c r="R65" i="3"/>
  <c r="U62" i="3"/>
  <c r="U59" i="3" s="1"/>
  <c r="U60" i="3"/>
  <c r="P60" i="3"/>
  <c r="P62" i="3"/>
  <c r="T51" i="3"/>
  <c r="K59" i="3"/>
  <c r="I84" i="3"/>
  <c r="K71" i="3"/>
  <c r="J59" i="3"/>
  <c r="L65" i="3"/>
  <c r="H59" i="3"/>
  <c r="G65" i="3"/>
  <c r="M59" i="3"/>
  <c r="L84" i="3"/>
  <c r="P54" i="3"/>
  <c r="Q54" i="3" s="1"/>
  <c r="I71" i="3"/>
  <c r="G71" i="3"/>
  <c r="I65" i="3"/>
  <c r="G84" i="3"/>
  <c r="Q96" i="3" l="1"/>
  <c r="R96" i="3" s="1"/>
  <c r="S96" i="3" s="1"/>
  <c r="T96" i="3" s="1"/>
  <c r="T50" i="3"/>
  <c r="T92" i="3"/>
  <c r="S74" i="3"/>
  <c r="R71" i="3"/>
  <c r="T68" i="3"/>
  <c r="T65" i="3" s="1"/>
  <c r="S65" i="3"/>
  <c r="Q60" i="3"/>
  <c r="R60" i="3" s="1"/>
  <c r="S60" i="3" s="1"/>
  <c r="T60" i="3" s="1"/>
  <c r="Q62" i="3"/>
  <c r="P59" i="3"/>
  <c r="P58" i="3" s="1"/>
  <c r="P80" i="3" s="1"/>
  <c r="U51" i="3"/>
  <c r="R54" i="3"/>
  <c r="R53" i="3" s="1"/>
  <c r="Q53" i="3"/>
  <c r="P53" i="3"/>
  <c r="P89" i="3" l="1"/>
  <c r="P95" i="3"/>
  <c r="U96" i="3"/>
  <c r="S71" i="3"/>
  <c r="T74" i="3"/>
  <c r="T71" i="3" s="1"/>
  <c r="U50" i="3"/>
  <c r="U92" i="3"/>
  <c r="P64" i="3"/>
  <c r="P70" i="3"/>
  <c r="R62" i="3"/>
  <c r="Q59" i="3"/>
  <c r="Q58" i="3" s="1"/>
  <c r="Q80" i="3" s="1"/>
  <c r="S54" i="3"/>
  <c r="S53" i="3" s="1"/>
  <c r="Q89" i="3" l="1"/>
  <c r="Q95" i="3"/>
  <c r="P76" i="3"/>
  <c r="P83" i="3" s="1"/>
  <c r="P86" i="3"/>
  <c r="P87" i="3" s="1"/>
  <c r="Q64" i="3"/>
  <c r="Q70" i="3"/>
  <c r="S62" i="3"/>
  <c r="R59" i="3"/>
  <c r="R58" i="3" s="1"/>
  <c r="R80" i="3" s="1"/>
  <c r="T54" i="3"/>
  <c r="T53" i="3" s="1"/>
  <c r="P84" i="3" l="1"/>
  <c r="P98" i="3"/>
  <c r="P104" i="3" s="1"/>
  <c r="R89" i="3"/>
  <c r="R95" i="3"/>
  <c r="Q76" i="3"/>
  <c r="Q83" i="3" s="1"/>
  <c r="Q86" i="3"/>
  <c r="Q87" i="3" s="1"/>
  <c r="R64" i="3"/>
  <c r="R70" i="3"/>
  <c r="T62" i="3"/>
  <c r="T59" i="3" s="1"/>
  <c r="S59" i="3"/>
  <c r="S58" i="3" s="1"/>
  <c r="S80" i="3" s="1"/>
  <c r="U54" i="3"/>
  <c r="U53" i="3" s="1"/>
  <c r="Q84" i="3" l="1"/>
  <c r="Q98" i="3"/>
  <c r="Q104" i="3" s="1"/>
  <c r="S89" i="3"/>
  <c r="S95" i="3"/>
  <c r="R86" i="3"/>
  <c r="R87" i="3" s="1"/>
  <c r="R76" i="3"/>
  <c r="R83" i="3" s="1"/>
  <c r="S64" i="3"/>
  <c r="S70" i="3"/>
  <c r="T58" i="3"/>
  <c r="T80" i="3" s="1"/>
  <c r="R84" i="3" l="1"/>
  <c r="R98" i="3"/>
  <c r="R104" i="3" s="1"/>
  <c r="T70" i="3"/>
  <c r="T89" i="3"/>
  <c r="T95" i="3"/>
  <c r="T76" i="3"/>
  <c r="T83" i="3" s="1"/>
  <c r="S76" i="3"/>
  <c r="S83" i="3" s="1"/>
  <c r="S86" i="3"/>
  <c r="S87" i="3" s="1"/>
  <c r="U58" i="3"/>
  <c r="T64" i="3"/>
  <c r="U80" i="3" l="1"/>
  <c r="C19" i="13"/>
  <c r="T86" i="3"/>
  <c r="T87" i="3" s="1"/>
  <c r="S84" i="3"/>
  <c r="S98" i="3"/>
  <c r="S104" i="3" s="1"/>
  <c r="U89" i="3"/>
  <c r="U95" i="3"/>
  <c r="T84" i="3"/>
  <c r="U64" i="3"/>
  <c r="C21" i="13" s="1"/>
  <c r="U70" i="3"/>
  <c r="C108" i="13" l="1"/>
  <c r="C110" i="13" s="1"/>
  <c r="C113" i="13" s="1"/>
  <c r="C115" i="13" s="1"/>
  <c r="C56" i="13"/>
  <c r="C58" i="13" s="1"/>
  <c r="C61" i="13" s="1"/>
  <c r="C63" i="13" s="1"/>
  <c r="C33" i="13"/>
  <c r="C41" i="13" s="1"/>
  <c r="C44" i="13" s="1"/>
  <c r="C46" i="13" s="1"/>
  <c r="C73" i="13"/>
  <c r="C74" i="13" s="1"/>
  <c r="C123" i="13" s="1"/>
  <c r="C124" i="13" s="1"/>
  <c r="C94" i="13"/>
  <c r="C96" i="13" s="1"/>
  <c r="C99" i="13" s="1"/>
  <c r="C101" i="13" s="1"/>
  <c r="C122" i="13"/>
  <c r="C75" i="13"/>
  <c r="T98" i="3"/>
  <c r="T104" i="3" s="1"/>
  <c r="U76" i="3"/>
  <c r="U83" i="3" s="1"/>
  <c r="U86" i="3"/>
  <c r="U87" i="3" s="1"/>
  <c r="U84" i="3" l="1"/>
  <c r="U98" i="3"/>
  <c r="U104" i="3" l="1"/>
  <c r="U106" i="3"/>
  <c r="U107" i="3" s="1"/>
  <c r="U109" i="3" s="1"/>
  <c r="C22" i="13" l="1"/>
  <c r="C32" i="13" s="1"/>
  <c r="C34" i="13" s="1"/>
  <c r="U112" i="3"/>
  <c r="U114" i="3" s="1"/>
  <c r="C12" i="3" s="1"/>
  <c r="C13" i="3" s="1"/>
</calcChain>
</file>

<file path=xl/sharedStrings.xml><?xml version="1.0" encoding="utf-8"?>
<sst xmlns="http://schemas.openxmlformats.org/spreadsheetml/2006/main" count="608" uniqueCount="361">
  <si>
    <t>Starbucks DCF model</t>
  </si>
  <si>
    <t>Company name</t>
  </si>
  <si>
    <t>SBUX</t>
  </si>
  <si>
    <t>Date</t>
  </si>
  <si>
    <t>Starbucks Corporation (SBUX)</t>
  </si>
  <si>
    <t>$99.03</t>
  </si>
  <si>
    <t>Starbucks Corporation</t>
  </si>
  <si>
    <t xml:space="preserve">SBUX   855244109   2842255   NASDAQ    Common stock    </t>
  </si>
  <si>
    <t>Source: FactSet Fundamentals</t>
  </si>
  <si>
    <t>SEP '15</t>
  </si>
  <si>
    <t>SEP '16</t>
  </si>
  <si>
    <t>SEP '17</t>
  </si>
  <si>
    <t>SEP '18</t>
  </si>
  <si>
    <t>SEP '19</t>
  </si>
  <si>
    <t>SEP '20</t>
  </si>
  <si>
    <t>SEP '21</t>
  </si>
  <si>
    <t>SEP '22</t>
  </si>
  <si>
    <t>SEP '23</t>
  </si>
  <si>
    <t>SEP '24</t>
  </si>
  <si>
    <t>Restate</t>
  </si>
  <si>
    <t>Preliminary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</si>
  <si>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</si>
  <si>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</si>
  <si>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</si>
  <si>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</si>
  <si>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</si>
  <si>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</si>
  <si>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</si>
  <si>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</si>
  <si>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Other Receivables</t>
  </si>
  <si>
    <t>Inventories</t>
  </si>
  <si>
    <t>Finished Goods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</si>
  <si>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</si>
  <si>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</si>
  <si>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</si>
  <si>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</si>
  <si>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</si>
  <si>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</si>
  <si>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</si>
  <si>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Land &amp; Improvements</t>
  </si>
  <si>
    <t>Machinery &amp; Equipment</t>
  </si>
  <si>
    <t>Construction in Progress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</si>
  <si>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</si>
  <si>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</si>
  <si>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</si>
  <si>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</si>
  <si>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LT Investment - Affiliate Companies</t>
  </si>
  <si>
    <t>Other Long-Term Investments</t>
  </si>
  <si>
    <t>Intangible Assets</t>
  </si>
  <si>
    <t>Goodwill</t>
  </si>
  <si>
    <t>Other Intangible Assets</t>
  </si>
  <si>
    <t>Deferred Tax Assets</t>
  </si>
  <si>
    <t>Other Assets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</si>
  <si>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</si>
  <si>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</si>
  <si>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</si>
  <si>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</si>
  <si>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</si>
  <si>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</si>
  <si>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Income Tax Payable</t>
  </si>
  <si>
    <t>Other Current Liabilities</t>
  </si>
  <si>
    <t>Dividends Payable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</si>
  <si>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</si>
  <si>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</si>
  <si>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</si>
  <si>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</si>
  <si>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</si>
  <si>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</si>
  <si>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</si>
  <si>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</si>
  <si>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</si>
  <si>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</si>
  <si>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</si>
  <si>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</si>
  <si>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</si>
  <si>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</si>
  <si>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</si>
  <si>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</si>
  <si>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</si>
  <si>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</si>
  <si>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</si>
  <si>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Unrealized Gain/Loss Marketable Securities</t>
  </si>
  <si>
    <t>Other Appropriated Reserves</t>
  </si>
  <si>
    <t>Total Shareholders' Equity</t>
  </si>
  <si>
    <t>Accumulated Minority Interest</t>
  </si>
  <si>
    <t>Total Equity</t>
  </si>
  <si>
    <t>Total Liabilities &amp; Shareholders' Equity</t>
  </si>
  <si>
    <t>Per Share</t>
  </si>
  <si>
    <t>Book Value per Share</t>
  </si>
  <si>
    <t>Tangible Book Value per Share</t>
  </si>
  <si>
    <t>All figures in millions of U.S. Dollar except per share items.</t>
  </si>
  <si>
    <t>$99.05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</si>
  <si>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</si>
  <si>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</si>
  <si>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</si>
  <si>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</si>
  <si>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</si>
  <si>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Intangibles</t>
  </si>
  <si>
    <t>Gross Income</t>
  </si>
  <si>
    <t>SG&amp;A Expense</t>
  </si>
  <si>
    <t>Other SG&amp;A</t>
  </si>
  <si>
    <t>EBIT (Operating Income)</t>
  </si>
  <si>
    <t>Nonoperating Income - Net</t>
  </si>
  <si>
    <t>Nonoperating Interest Income</t>
  </si>
  <si>
    <t>Equity in Earnings of Affiliates</t>
  </si>
  <si>
    <t>Other Income (Expense)</t>
  </si>
  <si>
    <t>Interest Expense</t>
  </si>
  <si>
    <t>Gross Interest Expense</t>
  </si>
  <si>
    <t>Interest Capitalized</t>
  </si>
  <si>
    <t>Unusual Expense - Net</t>
  </si>
  <si>
    <t>Impairments</t>
  </si>
  <si>
    <t>Property,Plant &amp; Equipment</t>
  </si>
  <si>
    <t>Restructuring Expense</t>
  </si>
  <si>
    <t>Unrealized Valuation Gain/Loss</t>
  </si>
  <si>
    <t>Investments</t>
  </si>
  <si>
    <t>Hedges/Derivatives</t>
  </si>
  <si>
    <t>Excpl Chrgs - Others</t>
  </si>
  <si>
    <t>Restructuring of Debt</t>
  </si>
  <si>
    <t>Pretax Income</t>
  </si>
  <si>
    <t>Income Taxes</t>
  </si>
  <si>
    <t>Income Taxes - Current Domestic</t>
  </si>
  <si>
    <t>Income Taxes - Current Foreign</t>
  </si>
  <si>
    <t>Income Taxes - Deferred Domestic</t>
  </si>
  <si>
    <t>Income Taxes - Deferred Foreign</t>
  </si>
  <si>
    <t>Consolidated Net Income</t>
  </si>
  <si>
    <t>Minority Interest</t>
  </si>
  <si>
    <t>Net Income</t>
  </si>
  <si>
    <t>Net Income available to Common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</si>
  <si>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</si>
  <si>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</si>
  <si>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</si>
  <si>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</si>
  <si>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</si>
  <si>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</si>
  <si>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</si>
  <si>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Dividends per Share</t>
  </si>
  <si>
    <t>Payout Ratio</t>
  </si>
  <si>
    <t>EBITDA</t>
  </si>
  <si>
    <t>EBIT</t>
  </si>
  <si>
    <t>$99.04</t>
  </si>
  <si>
    <t>Operating Activities</t>
  </si>
  <si>
    <t>Net Income / Starting Line</t>
  </si>
  <si>
    <t>Depreciation, Depletion &amp; Amortization</t>
  </si>
  <si>
    <t>Depreciation and Depletion</t>
  </si>
  <si>
    <t>Amortization of Intangible Assets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</si>
  <si>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</si>
  <si>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</si>
  <si>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</si>
  <si>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</si>
  <si>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</si>
  <si>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</si>
  <si>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Income Taxes Payable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</si>
  <si>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</si>
  <si>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</si>
  <si>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</si>
  <si>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</si>
  <si>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</si>
  <si>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</si>
  <si>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</si>
  <si>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</si>
  <si>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</si>
  <si>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</si>
  <si>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</si>
  <si>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</si>
  <si>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</si>
  <si>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</si>
  <si>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Cash Dividends Paid</t>
  </si>
  <si>
    <t>Common Dividends</t>
  </si>
  <si>
    <t>Change in Capital Stock</t>
  </si>
  <si>
    <t>Repurchase of Common &amp; Preferred Stk.</t>
  </si>
  <si>
    <t>Sale of Common &amp; Preferred Stock</t>
  </si>
  <si>
    <t>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</si>
  <si>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</si>
  <si>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</si>
  <si>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</si>
  <si>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</si>
  <si>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</si>
  <si>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</si>
  <si>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</si>
  <si>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</si>
  <si>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</si>
  <si>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</si>
  <si>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</si>
  <si>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</si>
  <si>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SBUX-USA</t>
  </si>
  <si>
    <t>Income Statement (M)</t>
  </si>
  <si>
    <t>Sep '20</t>
  </si>
  <si>
    <t>Sep '21</t>
  </si>
  <si>
    <t>Sep '22</t>
  </si>
  <si>
    <t>Sep '23</t>
  </si>
  <si>
    <t>Sep '24</t>
  </si>
  <si>
    <t>Sep '25E</t>
  </si>
  <si>
    <t>Sep '26E</t>
  </si>
  <si>
    <t>Sep '27E</t>
  </si>
  <si>
    <t>Sep '28E</t>
  </si>
  <si>
    <t>Sep '29E</t>
  </si>
  <si>
    <t>Sep '30E</t>
  </si>
  <si>
    <t>Sharp Consensus</t>
  </si>
  <si>
    <t>-</t>
  </si>
  <si>
    <t>Guidance (Low)</t>
  </si>
  <si>
    <t>Guidance (High)</t>
  </si>
  <si>
    <t>Cost of Sales</t>
  </si>
  <si>
    <t>Selling &amp; Marketing Expense</t>
  </si>
  <si>
    <t>General &amp; Admin Expense</t>
  </si>
  <si>
    <t>EBITDA Non-GAAP</t>
  </si>
  <si>
    <t>EBITDA GAAP</t>
  </si>
  <si>
    <t>Depr. &amp; Amort.</t>
  </si>
  <si>
    <t>Operating Income</t>
  </si>
  <si>
    <t>Operating Income - Non GAAP</t>
  </si>
  <si>
    <t>Operating Income - GAAP</t>
  </si>
  <si>
    <t>Pretax Income - Non GAAP</t>
  </si>
  <si>
    <t>Pretax Income - GAAP</t>
  </si>
  <si>
    <t>Tax Expense</t>
  </si>
  <si>
    <t>Net Income - Non GAAP</t>
  </si>
  <si>
    <t>Net Income - GAAP</t>
  </si>
  <si>
    <t>Balance Sheet (M)</t>
  </si>
  <si>
    <t>Current Assets</t>
  </si>
  <si>
    <t>Current Liabilities</t>
  </si>
  <si>
    <t>Short-Term Debt</t>
  </si>
  <si>
    <t>Total Debt</t>
  </si>
  <si>
    <t>Total Goodwill</t>
  </si>
  <si>
    <t>Net Debt</t>
  </si>
  <si>
    <t>Working Capital</t>
  </si>
  <si>
    <t>Shareholder Equity</t>
  </si>
  <si>
    <t>Cash Flow (M)</t>
  </si>
  <si>
    <t>Cash Flow from Operations</t>
  </si>
  <si>
    <t>Cash Flow from Investing</t>
  </si>
  <si>
    <t>Cash Flow from Financing</t>
  </si>
  <si>
    <t>Tax rate</t>
  </si>
  <si>
    <t>X</t>
  </si>
  <si>
    <t>Assumptions</t>
  </si>
  <si>
    <t>Financials</t>
  </si>
  <si>
    <t>Cash flow items</t>
  </si>
  <si>
    <t>DCF model</t>
  </si>
  <si>
    <t>Overview</t>
  </si>
  <si>
    <t>Company Ticker</t>
  </si>
  <si>
    <t>Price per share</t>
  </si>
  <si>
    <t>Price per share - actual</t>
  </si>
  <si>
    <t>Triggers</t>
  </si>
  <si>
    <t>Scenario</t>
  </si>
  <si>
    <t>WACC</t>
  </si>
  <si>
    <t>TGR</t>
  </si>
  <si>
    <t>Downside case</t>
  </si>
  <si>
    <t>Street case</t>
  </si>
  <si>
    <t>Upside case</t>
  </si>
  <si>
    <t>Revenue</t>
  </si>
  <si>
    <t>% growth</t>
  </si>
  <si>
    <t>% sales</t>
  </si>
  <si>
    <t>Taxes</t>
  </si>
  <si>
    <t>D&amp;A</t>
  </si>
  <si>
    <t>% capex</t>
  </si>
  <si>
    <t>Capex</t>
  </si>
  <si>
    <t>Change in WC</t>
  </si>
  <si>
    <t>EBIAT (or NOPAT)</t>
  </si>
  <si>
    <t>Price per share - post eval</t>
  </si>
  <si>
    <t xml:space="preserve">Delta </t>
  </si>
  <si>
    <t>% tax rate</t>
  </si>
  <si>
    <t>Legend</t>
  </si>
  <si>
    <t>XX</t>
  </si>
  <si>
    <t>Hardcoded</t>
  </si>
  <si>
    <t>Calculated formula in same sheet / same section</t>
  </si>
  <si>
    <t>Calculated formula, referencing other sheet</t>
  </si>
  <si>
    <t>Calculated formula, referencing different section of the sheet</t>
  </si>
  <si>
    <t>Assumption</t>
  </si>
  <si>
    <t>Number worth noting</t>
  </si>
  <si>
    <t>EBITDA g FY2025</t>
  </si>
  <si>
    <t>EBITDA g FY2030</t>
  </si>
  <si>
    <t xml:space="preserve">1 - Downside case </t>
  </si>
  <si>
    <t>2 - Street case</t>
  </si>
  <si>
    <t>3 - Upside case</t>
  </si>
  <si>
    <t>Rev g FY2025 % of base</t>
  </si>
  <si>
    <t>Rev g FY2030 % of base</t>
  </si>
  <si>
    <t>EBITDA % FY2025</t>
  </si>
  <si>
    <t>EBITDA % FY2030</t>
  </si>
  <si>
    <t>EBIT % FY2025</t>
  </si>
  <si>
    <t>EBIT % FY2030</t>
  </si>
  <si>
    <t>Plus: D&amp;A</t>
  </si>
  <si>
    <t>Less: Capex</t>
  </si>
  <si>
    <t>Capex % sales</t>
  </si>
  <si>
    <t>Less: Change in WC</t>
  </si>
  <si>
    <t>Unlevered FCF</t>
  </si>
  <si>
    <t>Discount period</t>
  </si>
  <si>
    <t>Period</t>
  </si>
  <si>
    <t>Discount period (using mid-year convention)</t>
  </si>
  <si>
    <t>Discounted UFCF</t>
  </si>
  <si>
    <t>Terminal value</t>
  </si>
  <si>
    <t>Discounted Terminal Value</t>
  </si>
  <si>
    <t>Enterprise value</t>
  </si>
  <si>
    <t>Plus: Cash</t>
  </si>
  <si>
    <t>Less: Debt</t>
  </si>
  <si>
    <t>Equity value</t>
  </si>
  <si>
    <t>Divide: Number of shares out</t>
  </si>
  <si>
    <t>End of fiscal year</t>
  </si>
  <si>
    <t>Year fraction to discount</t>
  </si>
  <si>
    <t>WACC calculation</t>
  </si>
  <si>
    <t>Inputs</t>
  </si>
  <si>
    <t>WACC = Re*(E/D+E)*Rd*(1-Tax)*(D/D+E)</t>
  </si>
  <si>
    <t>Re</t>
  </si>
  <si>
    <t>E</t>
  </si>
  <si>
    <t>D</t>
  </si>
  <si>
    <t>E/D+E</t>
  </si>
  <si>
    <t>Rd</t>
  </si>
  <si>
    <t>D/D+E</t>
  </si>
  <si>
    <t>1-Tax</t>
  </si>
  <si>
    <t>Beta Equity</t>
  </si>
  <si>
    <t>Risk free rate</t>
  </si>
  <si>
    <t>MRP</t>
  </si>
  <si>
    <t>all values in M</t>
  </si>
  <si>
    <t>EV / Rev</t>
  </si>
  <si>
    <t>EV</t>
  </si>
  <si>
    <t>Revenue - 2024</t>
  </si>
  <si>
    <t>EV - 2030</t>
  </si>
  <si>
    <t>Revenue - 2030</t>
  </si>
  <si>
    <t>EV/Revenue - post evaluation</t>
  </si>
  <si>
    <t>Current evaluation - Pitchbook</t>
  </si>
  <si>
    <t>Current EV</t>
  </si>
  <si>
    <t>Current Revenues</t>
  </si>
  <si>
    <t>Multiples analysis</t>
  </si>
  <si>
    <t>Evaluation if we use 3.66x instead of 2.63x</t>
  </si>
  <si>
    <t>New price per share</t>
  </si>
  <si>
    <t>Divided: Shares out</t>
  </si>
  <si>
    <t>Using past data of Starbucks</t>
  </si>
  <si>
    <t>EV / Revenue eval</t>
  </si>
  <si>
    <t>EV / EBITDA eval</t>
  </si>
  <si>
    <t>EV / EBITDA</t>
  </si>
  <si>
    <t>Evaluation if we use the above multiple</t>
  </si>
  <si>
    <t>EBITDA - 2030</t>
  </si>
  <si>
    <t>Projected EV</t>
  </si>
  <si>
    <t>Price / Revenue</t>
  </si>
  <si>
    <t>Stock price</t>
  </si>
  <si>
    <t>Sales per share</t>
  </si>
  <si>
    <t>Price / revenue</t>
  </si>
  <si>
    <t>Sales per share - 2030</t>
  </si>
  <si>
    <t>Multiple calculation</t>
  </si>
  <si>
    <t>Using competitors multiples</t>
  </si>
  <si>
    <t>Price / Earnings</t>
  </si>
  <si>
    <t>Net income (only for EPS calculation)</t>
  </si>
  <si>
    <t>Current EPS (diluted)</t>
  </si>
  <si>
    <t>Price to earnings</t>
  </si>
  <si>
    <t>EV / Rev - mean comp</t>
  </si>
  <si>
    <t>Evaluation if we use 3.44x</t>
  </si>
  <si>
    <t>EV / EBITDA - mean comp</t>
  </si>
  <si>
    <t>Price / revenue - mean comp</t>
  </si>
  <si>
    <t>Summary table</t>
  </si>
  <si>
    <t>EV / Revenue - current</t>
  </si>
  <si>
    <t>EV / EBITDA - current</t>
  </si>
  <si>
    <t>Price / Revenue - current</t>
  </si>
  <si>
    <t>EV / Revenue - comp</t>
  </si>
  <si>
    <t>EV / EBITDA - comp</t>
  </si>
  <si>
    <t>Price / Revenue - comp</t>
  </si>
  <si>
    <t>Low</t>
  </si>
  <si>
    <t>Max</t>
  </si>
  <si>
    <t>Diff</t>
  </si>
  <si>
    <t>Multiple used</t>
  </si>
  <si>
    <t>DCF</t>
  </si>
  <si>
    <t>Input</t>
  </si>
  <si>
    <t>Cash</t>
  </si>
  <si>
    <t>Debt</t>
  </si>
  <si>
    <t>Shares out</t>
  </si>
  <si>
    <t>EBITDA - 2024</t>
  </si>
  <si>
    <t>Stock price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</si>
</sst>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;&quot;--&quot;"/>
    <numFmt numFmtId="165" formatCode="General&quot;A&quot;"/>
    <numFmt numFmtId="166" formatCode="General&quot;F&quot;"/>
    <numFmt numFmtId="167" formatCode="#,##0.0"/>
    <numFmt numFmtId="168" formatCode="#,##0;\(#,##0\);&quot;--&quot;"/>
    <numFmt numFmtId="169" formatCode="0.0%"/>
    <numFmt numFmtId="170" formatCode="0.00&quot;x&quot;"/>
    <numFmt numFmtId="171" formatCode="#,##0.0;\(#,##0.0\);&quot;--&quot;"/>
  </numFmts>
  <fonts count="19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rgb="FFFFFF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0"/>
      <color rgb="FF646464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12"/>
      <color rgb="FFFFFFFF"/>
      <name val="Aptos Narrow"/>
      <scheme val="minor"/>
    </font>
    <font>
      <i/>
      <sz val="12"/>
      <color theme="1"/>
      <name val="Aptos Narrow"/>
      <scheme val="minor"/>
    </font>
    <font>
      <sz val="12"/>
      <color rgb="FFFF2600"/>
      <name val="Aptos Narrow"/>
      <family val="2"/>
      <scheme val="minor"/>
    </font>
    <font>
      <sz val="12"/>
      <color rgb="FF942092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scheme val="minor"/>
    </font>
    <font>
      <sz val="12"/>
      <color rgb="FF0432FF"/>
      <name val="Aptos Narrow"/>
      <family val="2"/>
      <scheme val="minor"/>
    </font>
    <font>
      <sz val="12"/>
      <color rgb="FFAB7942"/>
      <name val="Aptos Narrow"/>
      <family val="2"/>
      <scheme val="minor"/>
    </font>
    <font>
      <sz val="12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11893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CC"/>
      </patternFill>
    </fill>
    <fill>
      <patternFill patternType="solid">
        <fgColor rgb="FF000000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942092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0432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5" borderId="7" applyNumberFormat="0" applyFont="0" applyAlignment="0" applyProtection="0"/>
  </cellStyleXfs>
  <cellXfs count="16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9" fontId="0" fillId="0" borderId="0" xfId="0" applyNumberFormat="1"/>
    <xf numFmtId="166" fontId="2" fillId="2" borderId="0" xfId="0" applyNumberFormat="1" applyFont="1" applyFill="1"/>
    <xf numFmtId="0" fontId="3" fillId="0" borderId="0" xfId="0" applyFont="1"/>
    <xf numFmtId="0" fontId="0" fillId="0" borderId="2" xfId="0" applyBorder="1"/>
    <xf numFmtId="0" fontId="0" fillId="0" borderId="3" xfId="0" applyBorder="1"/>
    <xf numFmtId="0" fontId="3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 indent="3"/>
    </xf>
    <xf numFmtId="3" fontId="4" fillId="0" borderId="0" xfId="0" applyNumberFormat="1" applyFont="1" applyAlignment="1">
      <alignment horizontal="right"/>
    </xf>
    <xf numFmtId="0" fontId="0" fillId="4" borderId="0" xfId="0" applyFill="1" applyAlignment="1">
      <alignment horizontal="left" indent="4"/>
    </xf>
    <xf numFmtId="3" fontId="0" fillId="4" borderId="0" xfId="0" applyNumberFormat="1" applyFill="1" applyAlignment="1">
      <alignment horizontal="right"/>
    </xf>
    <xf numFmtId="0" fontId="0" fillId="0" borderId="0" xfId="0" applyAlignment="1">
      <alignment horizontal="left" indent="4"/>
    </xf>
    <xf numFmtId="3" fontId="0" fillId="0" borderId="0" xfId="0" applyNumberFormat="1" applyAlignment="1">
      <alignment horizontal="right"/>
    </xf>
    <xf numFmtId="0" fontId="4" fillId="4" borderId="0" xfId="0" applyFont="1" applyFill="1" applyAlignment="1">
      <alignment horizontal="left" indent="3"/>
    </xf>
    <xf numFmtId="3" fontId="4" fillId="4" borderId="0" xfId="0" applyNumberFormat="1" applyFont="1" applyFill="1" applyAlignment="1">
      <alignment horizontal="right"/>
    </xf>
    <xf numFmtId="0" fontId="4" fillId="0" borderId="0" xfId="0" applyFont="1" applyAlignment="1">
      <alignment horizontal="left" indent="6"/>
    </xf>
    <xf numFmtId="0" fontId="0" fillId="4" borderId="0" xfId="0" applyFill="1" applyAlignment="1">
      <alignment horizontal="left" indent="7"/>
    </xf>
    <xf numFmtId="0" fontId="0" fillId="0" borderId="0" xfId="0" applyAlignment="1">
      <alignment horizontal="left" indent="7"/>
    </xf>
    <xf numFmtId="3" fontId="5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left" indent="1"/>
    </xf>
    <xf numFmtId="0" fontId="4" fillId="4" borderId="0" xfId="0" applyFont="1" applyFill="1" applyAlignment="1">
      <alignment horizontal="left" indent="6"/>
    </xf>
    <xf numFmtId="0" fontId="0" fillId="0" borderId="0" xfId="0" applyAlignment="1">
      <alignment horizontal="left" indent="1"/>
    </xf>
    <xf numFmtId="0" fontId="4" fillId="0" borderId="0" xfId="0" applyFont="1" applyAlignment="1">
      <alignment horizontal="left"/>
    </xf>
    <xf numFmtId="3" fontId="5" fillId="4" borderId="0" xfId="0" applyNumberFormat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5" fillId="0" borderId="0" xfId="0" applyNumberFormat="1" applyFont="1" applyAlignment="1">
      <alignment horizontal="right"/>
    </xf>
    <xf numFmtId="4" fontId="0" fillId="4" borderId="0" xfId="0" applyNumberFormat="1" applyFill="1" applyAlignment="1">
      <alignment horizontal="right"/>
    </xf>
    <xf numFmtId="4" fontId="5" fillId="4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4" fontId="4" fillId="0" borderId="0" xfId="0" applyNumberFormat="1" applyFont="1" applyAlignment="1">
      <alignment horizontal="right"/>
    </xf>
    <xf numFmtId="4" fontId="4" fillId="4" borderId="0" xfId="0" applyNumberFormat="1" applyFont="1" applyFill="1" applyAlignment="1">
      <alignment horizontal="right"/>
    </xf>
    <xf numFmtId="167" fontId="4" fillId="0" borderId="0" xfId="0" applyNumberFormat="1" applyFont="1" applyAlignment="1">
      <alignment horizontal="right"/>
    </xf>
    <xf numFmtId="167" fontId="5" fillId="4" borderId="0" xfId="0" applyNumberFormat="1" applyFont="1" applyFill="1" applyAlignment="1">
      <alignment horizontal="right"/>
    </xf>
    <xf numFmtId="167" fontId="5" fillId="0" borderId="0" xfId="0" applyNumberFormat="1" applyFont="1" applyAlignment="1">
      <alignment horizontal="right"/>
    </xf>
    <xf numFmtId="167" fontId="0" fillId="0" borderId="0" xfId="0" applyNumberFormat="1" applyAlignment="1">
      <alignment horizontal="right"/>
    </xf>
    <xf numFmtId="167" fontId="0" fillId="4" borderId="0" xfId="0" applyNumberFormat="1" applyFill="1" applyAlignment="1">
      <alignment horizontal="right"/>
    </xf>
    <xf numFmtId="167" fontId="4" fillId="4" borderId="0" xfId="0" applyNumberFormat="1" applyFont="1" applyFill="1" applyAlignment="1">
      <alignment horizontal="right"/>
    </xf>
    <xf numFmtId="3" fontId="0" fillId="0" borderId="0" xfId="0" applyNumberFormat="1"/>
    <xf numFmtId="0" fontId="0" fillId="0" borderId="4" xfId="0" applyBorder="1"/>
    <xf numFmtId="9" fontId="0" fillId="0" borderId="5" xfId="0" applyNumberFormat="1" applyBorder="1"/>
    <xf numFmtId="9" fontId="0" fillId="0" borderId="6" xfId="0" applyNumberFormat="1" applyBorder="1"/>
    <xf numFmtId="0" fontId="8" fillId="0" borderId="0" xfId="0" applyFont="1"/>
    <xf numFmtId="168" fontId="0" fillId="0" borderId="0" xfId="0" applyNumberFormat="1"/>
    <xf numFmtId="168" fontId="8" fillId="0" borderId="0" xfId="0" applyNumberFormat="1" applyFont="1"/>
    <xf numFmtId="0" fontId="10" fillId="6" borderId="0" xfId="0" applyFont="1" applyFill="1"/>
    <xf numFmtId="9" fontId="11" fillId="0" borderId="0" xfId="0" applyNumberFormat="1" applyFont="1"/>
    <xf numFmtId="0" fontId="0" fillId="0" borderId="9" xfId="0" applyBorder="1"/>
    <xf numFmtId="0" fontId="0" fillId="0" borderId="8" xfId="0" applyBorder="1"/>
    <xf numFmtId="9" fontId="11" fillId="0" borderId="8" xfId="0" applyNumberFormat="1" applyFont="1" applyBorder="1"/>
    <xf numFmtId="168" fontId="12" fillId="0" borderId="0" xfId="0" applyNumberFormat="1" applyFont="1"/>
    <xf numFmtId="9" fontId="11" fillId="0" borderId="10" xfId="0" applyNumberFormat="1" applyFont="1" applyBorder="1"/>
    <xf numFmtId="168" fontId="0" fillId="0" borderId="10" xfId="0" applyNumberFormat="1" applyBorder="1"/>
    <xf numFmtId="168" fontId="0" fillId="0" borderId="1" xfId="0" applyNumberFormat="1" applyBorder="1"/>
    <xf numFmtId="0" fontId="11" fillId="0" borderId="0" xfId="0" applyFont="1" applyAlignment="1">
      <alignment horizontal="left" indent="1"/>
    </xf>
    <xf numFmtId="168" fontId="13" fillId="0" borderId="0" xfId="0" applyNumberFormat="1" applyFont="1"/>
    <xf numFmtId="168" fontId="13" fillId="0" borderId="8" xfId="0" applyNumberFormat="1" applyFont="1" applyBorder="1"/>
    <xf numFmtId="169" fontId="11" fillId="5" borderId="7" xfId="1" applyNumberFormat="1" applyFont="1"/>
    <xf numFmtId="0" fontId="9" fillId="0" borderId="0" xfId="0" applyFont="1"/>
    <xf numFmtId="165" fontId="2" fillId="6" borderId="0" xfId="0" applyNumberFormat="1" applyFont="1" applyFill="1"/>
    <xf numFmtId="0" fontId="15" fillId="6" borderId="0" xfId="0" applyFont="1" applyFill="1"/>
    <xf numFmtId="165" fontId="2" fillId="6" borderId="8" xfId="0" applyNumberFormat="1" applyFont="1" applyFill="1" applyBorder="1"/>
    <xf numFmtId="0" fontId="15" fillId="6" borderId="8" xfId="0" applyFont="1" applyFill="1" applyBorder="1"/>
    <xf numFmtId="3" fontId="0" fillId="0" borderId="8" xfId="0" applyNumberFormat="1" applyBorder="1"/>
    <xf numFmtId="0" fontId="16" fillId="0" borderId="0" xfId="0" applyFont="1"/>
    <xf numFmtId="0" fontId="13" fillId="0" borderId="0" xfId="0" applyFont="1"/>
    <xf numFmtId="0" fontId="17" fillId="0" borderId="0" xfId="0" applyFont="1"/>
    <xf numFmtId="0" fontId="0" fillId="5" borderId="7" xfId="1" applyFont="1"/>
    <xf numFmtId="3" fontId="13" fillId="0" borderId="0" xfId="0" applyNumberFormat="1" applyFont="1"/>
    <xf numFmtId="3" fontId="13" fillId="0" borderId="10" xfId="0" applyNumberFormat="1" applyFont="1" applyBorder="1"/>
    <xf numFmtId="3" fontId="13" fillId="0" borderId="8" xfId="0" applyNumberFormat="1" applyFont="1" applyBorder="1"/>
    <xf numFmtId="0" fontId="11" fillId="0" borderId="0" xfId="0" applyFont="1"/>
    <xf numFmtId="9" fontId="11" fillId="0" borderId="9" xfId="0" applyNumberFormat="1" applyFont="1" applyBorder="1"/>
    <xf numFmtId="9" fontId="11" fillId="0" borderId="1" xfId="0" applyNumberFormat="1" applyFont="1" applyBorder="1"/>
    <xf numFmtId="0" fontId="12" fillId="0" borderId="0" xfId="0" applyFont="1"/>
    <xf numFmtId="0" fontId="8" fillId="0" borderId="11" xfId="0" applyFont="1" applyBorder="1" applyAlignment="1">
      <alignment horizontal="left" indent="1"/>
    </xf>
    <xf numFmtId="3" fontId="8" fillId="0" borderId="11" xfId="0" applyNumberFormat="1" applyFont="1" applyBorder="1" applyAlignment="1">
      <alignment horizontal="right"/>
    </xf>
    <xf numFmtId="9" fontId="0" fillId="0" borderId="0" xfId="0" applyNumberFormat="1" applyAlignment="1">
      <alignment horizontal="left"/>
    </xf>
    <xf numFmtId="9" fontId="0" fillId="0" borderId="10" xfId="0" applyNumberFormat="1" applyBorder="1"/>
    <xf numFmtId="168" fontId="17" fillId="0" borderId="0" xfId="0" applyNumberFormat="1" applyFont="1"/>
    <xf numFmtId="168" fontId="17" fillId="0" borderId="8" xfId="0" applyNumberFormat="1" applyFont="1" applyBorder="1"/>
    <xf numFmtId="3" fontId="17" fillId="0" borderId="0" xfId="0" applyNumberFormat="1" applyFont="1"/>
    <xf numFmtId="3" fontId="17" fillId="0" borderId="8" xfId="0" applyNumberFormat="1" applyFont="1" applyBorder="1"/>
    <xf numFmtId="9" fontId="17" fillId="0" borderId="0" xfId="0" applyNumberFormat="1" applyFont="1"/>
    <xf numFmtId="0" fontId="8" fillId="0" borderId="12" xfId="0" applyFont="1" applyBorder="1"/>
    <xf numFmtId="0" fontId="0" fillId="0" borderId="13" xfId="0" applyBorder="1"/>
    <xf numFmtId="3" fontId="8" fillId="0" borderId="13" xfId="0" applyNumberFormat="1" applyFont="1" applyBorder="1"/>
    <xf numFmtId="3" fontId="8" fillId="0" borderId="14" xfId="0" applyNumberFormat="1" applyFont="1" applyBorder="1"/>
    <xf numFmtId="0" fontId="11" fillId="0" borderId="15" xfId="0" applyFont="1" applyBorder="1" applyAlignment="1">
      <alignment horizontal="left" indent="1"/>
    </xf>
    <xf numFmtId="3" fontId="14" fillId="0" borderId="0" xfId="0" applyNumberFormat="1" applyFont="1"/>
    <xf numFmtId="168" fontId="17" fillId="0" borderId="10" xfId="0" applyNumberFormat="1" applyFont="1" applyBorder="1"/>
    <xf numFmtId="0" fontId="8" fillId="7" borderId="4" xfId="0" applyFont="1" applyFill="1" applyBorder="1"/>
    <xf numFmtId="0" fontId="0" fillId="7" borderId="5" xfId="0" applyFill="1" applyBorder="1"/>
    <xf numFmtId="0" fontId="0" fillId="7" borderId="6" xfId="0" applyFill="1" applyBorder="1"/>
    <xf numFmtId="3" fontId="8" fillId="7" borderId="5" xfId="0" applyNumberFormat="1" applyFont="1" applyFill="1" applyBorder="1"/>
    <xf numFmtId="3" fontId="8" fillId="7" borderId="6" xfId="0" applyNumberFormat="1" applyFont="1" applyFill="1" applyBorder="1"/>
    <xf numFmtId="0" fontId="18" fillId="0" borderId="1" xfId="0" applyFont="1" applyBorder="1"/>
    <xf numFmtId="9" fontId="0" fillId="0" borderId="0" xfId="0" applyNumberFormat="1" applyAlignment="1">
      <alignment horizontal="right"/>
    </xf>
    <xf numFmtId="2" fontId="0" fillId="0" borderId="0" xfId="0" applyNumberFormat="1"/>
    <xf numFmtId="0" fontId="0" fillId="0" borderId="11" xfId="0" applyBorder="1"/>
    <xf numFmtId="10" fontId="0" fillId="5" borderId="7" xfId="1" applyNumberFormat="1" applyFont="1"/>
    <xf numFmtId="169" fontId="0" fillId="0" borderId="0" xfId="0" applyNumberFormat="1"/>
    <xf numFmtId="10" fontId="0" fillId="0" borderId="0" xfId="0" applyNumberFormat="1"/>
    <xf numFmtId="3" fontId="0" fillId="5" borderId="7" xfId="1" applyNumberFormat="1" applyFont="1"/>
    <xf numFmtId="169" fontId="13" fillId="0" borderId="0" xfId="0" applyNumberFormat="1" applyFont="1"/>
    <xf numFmtId="10" fontId="0" fillId="0" borderId="11" xfId="0" applyNumberFormat="1" applyBorder="1"/>
    <xf numFmtId="10" fontId="13" fillId="0" borderId="0" xfId="0" applyNumberFormat="1" applyFont="1"/>
    <xf numFmtId="168" fontId="18" fillId="0" borderId="0" xfId="0" applyNumberFormat="1" applyFont="1"/>
    <xf numFmtId="0" fontId="8" fillId="7" borderId="0" xfId="0" applyFont="1" applyFill="1"/>
    <xf numFmtId="0" fontId="0" fillId="7" borderId="0" xfId="0" applyFill="1"/>
    <xf numFmtId="0" fontId="0" fillId="7" borderId="8" xfId="0" applyFill="1" applyBorder="1"/>
    <xf numFmtId="164" fontId="8" fillId="7" borderId="0" xfId="0" applyNumberFormat="1" applyFont="1" applyFill="1"/>
    <xf numFmtId="14" fontId="16" fillId="0" borderId="0" xfId="0" applyNumberFormat="1" applyFont="1"/>
    <xf numFmtId="14" fontId="16" fillId="0" borderId="0" xfId="0" applyNumberFormat="1" applyFont="1" applyAlignment="1">
      <alignment horizontal="right"/>
    </xf>
    <xf numFmtId="10" fontId="16" fillId="0" borderId="0" xfId="0" applyNumberFormat="1" applyFont="1"/>
    <xf numFmtId="9" fontId="16" fillId="0" borderId="0" xfId="0" applyNumberFormat="1" applyFont="1"/>
    <xf numFmtId="9" fontId="16" fillId="0" borderId="10" xfId="0" applyNumberFormat="1" applyFont="1" applyBorder="1"/>
    <xf numFmtId="168" fontId="16" fillId="0" borderId="1" xfId="0" applyNumberFormat="1" applyFont="1" applyBorder="1"/>
    <xf numFmtId="0" fontId="16" fillId="0" borderId="16" xfId="0" applyFont="1" applyBorder="1"/>
    <xf numFmtId="0" fontId="18" fillId="0" borderId="0" xfId="0" applyFont="1"/>
    <xf numFmtId="170" fontId="0" fillId="0" borderId="0" xfId="0" applyNumberFormat="1"/>
    <xf numFmtId="0" fontId="0" fillId="0" borderId="0" xfId="0" applyBorder="1"/>
    <xf numFmtId="0" fontId="0" fillId="0" borderId="1" xfId="0" applyFill="1" applyBorder="1"/>
    <xf numFmtId="164" fontId="8" fillId="0" borderId="0" xfId="0" applyNumberFormat="1" applyFont="1"/>
    <xf numFmtId="0" fontId="0" fillId="6" borderId="0" xfId="0" applyFill="1"/>
    <xf numFmtId="0" fontId="0" fillId="8" borderId="0" xfId="0" applyFill="1"/>
    <xf numFmtId="0" fontId="10" fillId="8" borderId="0" xfId="0" applyFont="1" applyFill="1"/>
    <xf numFmtId="3" fontId="0" fillId="0" borderId="1" xfId="0" applyNumberFormat="1" applyBorder="1"/>
    <xf numFmtId="4" fontId="8" fillId="0" borderId="0" xfId="0" applyNumberFormat="1" applyFont="1"/>
    <xf numFmtId="4" fontId="18" fillId="0" borderId="0" xfId="0" applyNumberFormat="1" applyFont="1"/>
    <xf numFmtId="4" fontId="18" fillId="0" borderId="1" xfId="0" applyNumberFormat="1" applyFont="1" applyBorder="1"/>
    <xf numFmtId="0" fontId="8" fillId="0" borderId="0" xfId="0" applyFont="1" applyBorder="1"/>
    <xf numFmtId="2" fontId="0" fillId="0" borderId="1" xfId="0" applyNumberFormat="1" applyBorder="1"/>
    <xf numFmtId="2" fontId="8" fillId="0" borderId="0" xfId="0" applyNumberFormat="1" applyFont="1"/>
    <xf numFmtId="2" fontId="18" fillId="0" borderId="0" xfId="0" applyNumberFormat="1" applyFont="1"/>
    <xf numFmtId="2" fontId="18" fillId="0" borderId="1" xfId="0" applyNumberFormat="1" applyFont="1" applyBorder="1"/>
    <xf numFmtId="2" fontId="8" fillId="0" borderId="0" xfId="0" applyNumberFormat="1" applyFont="1" applyBorder="1"/>
    <xf numFmtId="0" fontId="8" fillId="0" borderId="0" xfId="0" applyFont="1" applyFill="1" applyBorder="1"/>
    <xf numFmtId="4" fontId="0" fillId="0" borderId="1" xfId="0" applyNumberFormat="1" applyBorder="1"/>
    <xf numFmtId="0" fontId="9" fillId="9" borderId="0" xfId="0" applyFont="1" applyFill="1"/>
    <xf numFmtId="2" fontId="8" fillId="9" borderId="0" xfId="0" applyNumberFormat="1" applyFont="1" applyFill="1" applyBorder="1"/>
    <xf numFmtId="170" fontId="0" fillId="0" borderId="1" xfId="0" applyNumberFormat="1" applyBorder="1"/>
    <xf numFmtId="4" fontId="0" fillId="0" borderId="0" xfId="0" applyNumberFormat="1"/>
    <xf numFmtId="0" fontId="2" fillId="10" borderId="0" xfId="0" applyFont="1" applyFill="1"/>
    <xf numFmtId="0" fontId="10" fillId="10" borderId="0" xfId="0" applyFont="1" applyFill="1"/>
    <xf numFmtId="0" fontId="9" fillId="0" borderId="0" xfId="0" applyFont="1" applyAlignment="1">
      <alignment horizontal="right"/>
    </xf>
    <xf numFmtId="171" fontId="0" fillId="5" borderId="7" xfId="1" applyNumberFormat="1" applyFont="1"/>
    <xf numFmtId="170" fontId="16" fillId="5" borderId="7" xfId="1" applyNumberFormat="1" applyFont="1"/>
    <xf numFmtId="0" fontId="16" fillId="5" borderId="7" xfId="1" applyFont="1"/>
    <xf numFmtId="171" fontId="18" fillId="0" borderId="1" xfId="0" applyNumberFormat="1" applyFont="1" applyBorder="1"/>
    <xf numFmtId="168" fontId="18" fillId="0" borderId="1" xfId="0" applyNumberFormat="1" applyFont="1" applyBorder="1"/>
    <xf numFmtId="164" fontId="0" fillId="5" borderId="7" xfId="1" applyNumberFormat="1" applyFont="1"/>
    <xf numFmtId="164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0432FF"/>
      <color rgb="FFFFFFFF"/>
      <color rgb="FFFFFC00"/>
      <color rgb="FF942092"/>
      <color rgb="FF000000"/>
      <color rgb="FFC1C1C1"/>
      <color rgb="FFAB7942"/>
      <color rgb="FFFF2600"/>
      <color rgb="FFFFFD78"/>
      <color rgb="FF0118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E7E0-3E51-9546-BB30-8362CFF7B703}">
  <dimension ref="A2:C9"/>
  <sheetViews>
    <sheetView showGridLines="0" zoomScale="254" workbookViewId="0">
      <selection activeCell="B8" sqref="B8"/>
    </sheetView>
  </sheetViews>
  <sheetFormatPr baseColWidth="10" defaultRowHeight="16" x14ac:dyDescent="0.2"/>
  <cols>
    <col min="1" max="1" width="2.83203125" customWidth="1"/>
  </cols>
  <sheetData>
    <row r="2" spans="1:3" s="1" customFormat="1" ht="24" x14ac:dyDescent="0.3">
      <c r="A2"/>
      <c r="B2" s="2" t="s">
        <v>257</v>
      </c>
    </row>
    <row r="4" spans="1:3" x14ac:dyDescent="0.2">
      <c r="B4" s="72" t="s">
        <v>258</v>
      </c>
      <c r="C4" t="s">
        <v>259</v>
      </c>
    </row>
    <row r="5" spans="1:3" x14ac:dyDescent="0.2">
      <c r="B5" t="s">
        <v>258</v>
      </c>
      <c r="C5" t="s">
        <v>260</v>
      </c>
    </row>
    <row r="6" spans="1:3" x14ac:dyDescent="0.2">
      <c r="B6" s="73" t="s">
        <v>258</v>
      </c>
      <c r="C6" t="s">
        <v>261</v>
      </c>
    </row>
    <row r="7" spans="1:3" x14ac:dyDescent="0.2">
      <c r="B7" s="74" t="s">
        <v>258</v>
      </c>
      <c r="C7" t="s">
        <v>262</v>
      </c>
    </row>
    <row r="8" spans="1:3" x14ac:dyDescent="0.2">
      <c r="B8" s="75" t="s">
        <v>258</v>
      </c>
      <c r="C8" t="s">
        <v>263</v>
      </c>
    </row>
    <row r="9" spans="1:3" x14ac:dyDescent="0.2">
      <c r="B9" s="82" t="s">
        <v>258</v>
      </c>
      <c r="C9" t="s">
        <v>264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B3973-5492-D947-8538-06A7A662E927}">
  <dimension ref="A2:G134"/>
  <sheetViews>
    <sheetView showGridLines="0" tabSelected="1" zoomScale="164" workbookViewId="0">
      <selection activeCell="D11" sqref="D11"/>
    </sheetView>
  </sheetViews>
  <sheetFormatPr baseColWidth="10" defaultRowHeight="16" x14ac:dyDescent="0.2"/>
  <cols>
    <col min="1" max="1" width="2.83203125" style="3" customWidth="1"/>
    <col min="2" max="2" width="30.83203125" customWidth="1"/>
    <col min="3" max="3" width="14.6640625" bestFit="1" customWidth="1"/>
    <col min="6" max="7" width="15.83203125" customWidth="1"/>
  </cols>
  <sheetData>
    <row r="2" spans="1:5" s="1" customFormat="1" ht="24" x14ac:dyDescent="0.3">
      <c r="A2" s="3"/>
      <c r="B2" s="2" t="s">
        <v>317</v>
      </c>
    </row>
    <row r="4" spans="1:5" s="151" customFormat="1" x14ac:dyDescent="0.2">
      <c r="A4" s="3" t="s">
        <v>229</v>
      </c>
      <c r="B4" s="152" t="s">
        <v>343</v>
      </c>
    </row>
    <row r="6" spans="1:5" x14ac:dyDescent="0.2">
      <c r="B6" s="66" t="s">
        <v>353</v>
      </c>
      <c r="C6" s="153" t="s">
        <v>350</v>
      </c>
      <c r="D6" s="153" t="s">
        <v>351</v>
      </c>
      <c r="E6" s="153" t="s">
        <v>352</v>
      </c>
    </row>
    <row r="7" spans="1:5" x14ac:dyDescent="0.2">
      <c r="B7" s="127" t="s">
        <v>354</v>
      </c>
      <c r="C7" s="153"/>
      <c r="D7" s="153"/>
      <c r="E7" s="153"/>
    </row>
    <row r="8" spans="1:5" x14ac:dyDescent="0.2">
      <c r="B8" t="s">
        <v>344</v>
      </c>
    </row>
    <row r="9" spans="1:5" x14ac:dyDescent="0.2">
      <c r="B9" t="s">
        <v>345</v>
      </c>
    </row>
    <row r="10" spans="1:5" x14ac:dyDescent="0.2">
      <c r="B10" t="s">
        <v>346</v>
      </c>
    </row>
    <row r="11" spans="1:5" x14ac:dyDescent="0.2">
      <c r="B11" t="s">
        <v>347</v>
      </c>
    </row>
    <row r="12" spans="1:5" x14ac:dyDescent="0.2">
      <c r="B12" t="s">
        <v>348</v>
      </c>
    </row>
    <row r="13" spans="1:5" x14ac:dyDescent="0.2">
      <c r="B13" t="s">
        <v>349</v>
      </c>
    </row>
    <row r="15" spans="1:5" s="132" customFormat="1" x14ac:dyDescent="0.2">
      <c r="A15" s="3" t="s">
        <v>229</v>
      </c>
      <c r="B15" s="53" t="s">
        <v>355</v>
      </c>
    </row>
    <row r="16" spans="1:5" x14ac:dyDescent="0.2">
      <c r="A16"/>
    </row>
    <row r="17" spans="1:7" x14ac:dyDescent="0.2">
      <c r="A17"/>
      <c r="B17" t="s">
        <v>360</v>
      </c>
      <c r="C17" s="159">
        <f>'DCF model'!C11</f>
        <v>98.87</v>
      </c>
    </row>
    <row r="18" spans="1:7" x14ac:dyDescent="0.2">
      <c r="A18"/>
      <c r="B18" t="s">
        <v>310</v>
      </c>
      <c r="C18" s="154">
        <f>'DCF model'!O58</f>
        <v>36176.199999999997</v>
      </c>
    </row>
    <row r="19" spans="1:7" x14ac:dyDescent="0.2">
      <c r="B19" t="s">
        <v>312</v>
      </c>
      <c r="C19" s="154">
        <f>'DCF model'!U58</f>
        <v>50491.977350513444</v>
      </c>
    </row>
    <row r="20" spans="1:7" x14ac:dyDescent="0.2">
      <c r="B20" t="s">
        <v>359</v>
      </c>
      <c r="C20" s="154">
        <f>'DCF model'!O64</f>
        <v>7935.1</v>
      </c>
    </row>
    <row r="21" spans="1:7" x14ac:dyDescent="0.2">
      <c r="B21" t="s">
        <v>326</v>
      </c>
      <c r="C21" s="154">
        <f>'DCF model'!U64</f>
        <v>10098.395470102689</v>
      </c>
    </row>
    <row r="22" spans="1:7" x14ac:dyDescent="0.2">
      <c r="B22" t="s">
        <v>311</v>
      </c>
      <c r="C22" s="154">
        <f>'DCF model'!U109</f>
        <v>57341.828253499691</v>
      </c>
    </row>
    <row r="23" spans="1:7" x14ac:dyDescent="0.2">
      <c r="B23" t="s">
        <v>356</v>
      </c>
      <c r="C23" s="154">
        <f>'DCF model'!U110</f>
        <v>3543.2</v>
      </c>
    </row>
    <row r="24" spans="1:7" x14ac:dyDescent="0.2">
      <c r="B24" t="s">
        <v>357</v>
      </c>
      <c r="C24" s="154">
        <f>'DCF model'!U111</f>
        <v>-15595.5</v>
      </c>
    </row>
    <row r="25" spans="1:7" x14ac:dyDescent="0.2">
      <c r="B25" t="s">
        <v>358</v>
      </c>
      <c r="C25" s="154">
        <f>'DCF model'!U113</f>
        <v>1137</v>
      </c>
    </row>
    <row r="27" spans="1:7" s="132" customFormat="1" x14ac:dyDescent="0.2">
      <c r="A27" s="3" t="s">
        <v>229</v>
      </c>
      <c r="B27" s="53" t="s">
        <v>321</v>
      </c>
    </row>
    <row r="28" spans="1:7" ht="3" customHeight="1" x14ac:dyDescent="0.2"/>
    <row r="29" spans="1:7" s="133" customFormat="1" x14ac:dyDescent="0.2">
      <c r="A29" s="3" t="s">
        <v>229</v>
      </c>
      <c r="B29" s="134" t="s">
        <v>322</v>
      </c>
    </row>
    <row r="31" spans="1:7" x14ac:dyDescent="0.2">
      <c r="B31" s="66" t="s">
        <v>333</v>
      </c>
      <c r="F31" s="161"/>
      <c r="G31" s="160"/>
    </row>
    <row r="32" spans="1:7" x14ac:dyDescent="0.2">
      <c r="B32" s="127" t="s">
        <v>311</v>
      </c>
      <c r="C32" s="52">
        <f>C22</f>
        <v>57341.828253499691</v>
      </c>
    </row>
    <row r="33" spans="1:3" x14ac:dyDescent="0.2">
      <c r="B33" s="127" t="s">
        <v>312</v>
      </c>
      <c r="C33" s="51">
        <f>C19</f>
        <v>50491.977350513444</v>
      </c>
    </row>
    <row r="34" spans="1:3" x14ac:dyDescent="0.2">
      <c r="B34" s="127" t="s">
        <v>313</v>
      </c>
      <c r="C34" s="128">
        <f>C32/C33</f>
        <v>1.1356621638212905</v>
      </c>
    </row>
    <row r="36" spans="1:3" x14ac:dyDescent="0.2">
      <c r="B36" t="s">
        <v>314</v>
      </c>
      <c r="C36" s="155">
        <v>3.66</v>
      </c>
    </row>
    <row r="37" spans="1:3" x14ac:dyDescent="0.2">
      <c r="B37" t="s">
        <v>315</v>
      </c>
      <c r="C37" s="52">
        <f>C36*C18</f>
        <v>132404.89199999999</v>
      </c>
    </row>
    <row r="38" spans="1:3" x14ac:dyDescent="0.2">
      <c r="B38" t="s">
        <v>316</v>
      </c>
      <c r="C38" s="51">
        <f>C18</f>
        <v>36176.199999999997</v>
      </c>
    </row>
    <row r="40" spans="1:3" x14ac:dyDescent="0.2">
      <c r="B40" s="66" t="s">
        <v>318</v>
      </c>
    </row>
    <row r="41" spans="1:3" x14ac:dyDescent="0.2">
      <c r="B41" t="s">
        <v>309</v>
      </c>
      <c r="C41" s="52">
        <f>C36*C33</f>
        <v>184800.63710287921</v>
      </c>
    </row>
    <row r="42" spans="1:3" x14ac:dyDescent="0.2">
      <c r="B42" t="s">
        <v>288</v>
      </c>
      <c r="C42" s="51">
        <f>C23</f>
        <v>3543.2</v>
      </c>
    </row>
    <row r="43" spans="1:3" x14ac:dyDescent="0.2">
      <c r="B43" s="1" t="s">
        <v>289</v>
      </c>
      <c r="C43" s="61">
        <f>C24</f>
        <v>-15595.5</v>
      </c>
    </row>
    <row r="44" spans="1:3" x14ac:dyDescent="0.2">
      <c r="B44" s="139" t="s">
        <v>290</v>
      </c>
      <c r="C44" s="52">
        <f>SUM(C41:C43)</f>
        <v>172748.33710287922</v>
      </c>
    </row>
    <row r="45" spans="1:3" x14ac:dyDescent="0.2">
      <c r="B45" s="130" t="s">
        <v>320</v>
      </c>
      <c r="C45" s="61">
        <f>C25</f>
        <v>1137</v>
      </c>
    </row>
    <row r="46" spans="1:3" x14ac:dyDescent="0.2">
      <c r="B46" s="50" t="s">
        <v>319</v>
      </c>
      <c r="C46" s="131">
        <f>C44/C45</f>
        <v>151.93345391634057</v>
      </c>
    </row>
    <row r="47" spans="1:3" x14ac:dyDescent="0.2">
      <c r="B47" s="50"/>
      <c r="C47" s="131"/>
    </row>
    <row r="48" spans="1:3" s="133" customFormat="1" x14ac:dyDescent="0.2">
      <c r="A48" s="3" t="s">
        <v>229</v>
      </c>
      <c r="B48" s="134" t="s">
        <v>323</v>
      </c>
    </row>
    <row r="49" spans="2:3" s="3" customFormat="1" x14ac:dyDescent="0.2"/>
    <row r="50" spans="2:3" x14ac:dyDescent="0.2">
      <c r="B50" s="66" t="s">
        <v>333</v>
      </c>
      <c r="C50" s="131"/>
    </row>
    <row r="51" spans="2:3" x14ac:dyDescent="0.2">
      <c r="B51" s="127" t="s">
        <v>315</v>
      </c>
      <c r="C51" s="115">
        <f>C37</f>
        <v>132404.89199999999</v>
      </c>
    </row>
    <row r="52" spans="2:3" x14ac:dyDescent="0.2">
      <c r="B52" s="104" t="s">
        <v>137</v>
      </c>
      <c r="C52" s="135">
        <f>C20</f>
        <v>7935.1</v>
      </c>
    </row>
    <row r="53" spans="2:3" x14ac:dyDescent="0.2">
      <c r="B53" s="50" t="s">
        <v>324</v>
      </c>
      <c r="C53" s="136">
        <f>C51/C52</f>
        <v>16.685976484228302</v>
      </c>
    </row>
    <row r="54" spans="2:3" x14ac:dyDescent="0.2">
      <c r="B54" s="50"/>
      <c r="C54" s="136"/>
    </row>
    <row r="55" spans="2:3" x14ac:dyDescent="0.2">
      <c r="B55" s="66" t="s">
        <v>325</v>
      </c>
      <c r="C55" s="136"/>
    </row>
    <row r="56" spans="2:3" x14ac:dyDescent="0.2">
      <c r="B56" s="127" t="s">
        <v>326</v>
      </c>
      <c r="C56" s="137">
        <f>C21</f>
        <v>10098.395470102689</v>
      </c>
    </row>
    <row r="57" spans="2:3" x14ac:dyDescent="0.2">
      <c r="B57" s="104" t="s">
        <v>324</v>
      </c>
      <c r="C57" s="138">
        <f>C53</f>
        <v>16.685976484228302</v>
      </c>
    </row>
    <row r="58" spans="2:3" x14ac:dyDescent="0.2">
      <c r="B58" s="50" t="s">
        <v>327</v>
      </c>
      <c r="C58" s="136">
        <f>PRODUCT(C56:C57)</f>
        <v>168501.58934257107</v>
      </c>
    </row>
    <row r="59" spans="2:3" x14ac:dyDescent="0.2">
      <c r="B59" s="127" t="str">
        <f>B42</f>
        <v>Plus: Cash</v>
      </c>
      <c r="C59" s="115">
        <f>C23</f>
        <v>3543.2</v>
      </c>
    </row>
    <row r="60" spans="2:3" x14ac:dyDescent="0.2">
      <c r="B60" s="104" t="str">
        <f>B43</f>
        <v>Less: Debt</v>
      </c>
      <c r="C60" s="157">
        <f>C24</f>
        <v>-15595.5</v>
      </c>
    </row>
    <row r="61" spans="2:3" x14ac:dyDescent="0.2">
      <c r="B61" s="50" t="str">
        <f>B44</f>
        <v>Equity value</v>
      </c>
      <c r="C61" s="136">
        <f>SUM(C58:C60)</f>
        <v>156449.28934257108</v>
      </c>
    </row>
    <row r="62" spans="2:3" x14ac:dyDescent="0.2">
      <c r="B62" s="104" t="str">
        <f>B45</f>
        <v>Divided: Shares out</v>
      </c>
      <c r="C62" s="158">
        <f>C25</f>
        <v>1137</v>
      </c>
    </row>
    <row r="63" spans="2:3" x14ac:dyDescent="0.2">
      <c r="B63" s="139" t="str">
        <f>B46</f>
        <v>New price per share</v>
      </c>
      <c r="C63" s="136">
        <f>C61/C62</f>
        <v>137.59831956250756</v>
      </c>
    </row>
    <row r="64" spans="2:3" x14ac:dyDescent="0.2">
      <c r="B64" s="139"/>
      <c r="C64" s="136"/>
    </row>
    <row r="65" spans="1:3" s="133" customFormat="1" x14ac:dyDescent="0.2">
      <c r="A65" s="3" t="s">
        <v>229</v>
      </c>
      <c r="B65" s="134" t="s">
        <v>328</v>
      </c>
    </row>
    <row r="67" spans="1:3" x14ac:dyDescent="0.2">
      <c r="B67" s="66" t="s">
        <v>333</v>
      </c>
    </row>
    <row r="68" spans="1:3" x14ac:dyDescent="0.2">
      <c r="B68" t="s">
        <v>329</v>
      </c>
      <c r="C68" s="106">
        <f>C17</f>
        <v>98.87</v>
      </c>
    </row>
    <row r="69" spans="1:3" x14ac:dyDescent="0.2">
      <c r="B69" s="1" t="s">
        <v>330</v>
      </c>
      <c r="C69" s="140">
        <f>C18/C25</f>
        <v>31.817238346525944</v>
      </c>
    </row>
    <row r="70" spans="1:3" x14ac:dyDescent="0.2">
      <c r="B70" s="50" t="s">
        <v>331</v>
      </c>
      <c r="C70" s="141">
        <f>C68/C69</f>
        <v>3.1074349987008034</v>
      </c>
    </row>
    <row r="71" spans="1:3" x14ac:dyDescent="0.2">
      <c r="B71" s="50"/>
      <c r="C71" s="141"/>
    </row>
    <row r="72" spans="1:3" x14ac:dyDescent="0.2">
      <c r="B72" s="66" t="s">
        <v>325</v>
      </c>
      <c r="C72" s="141"/>
    </row>
    <row r="73" spans="1:3" x14ac:dyDescent="0.2">
      <c r="B73" s="127" t="s">
        <v>312</v>
      </c>
      <c r="C73" s="142">
        <f>C19</f>
        <v>50491.977350513444</v>
      </c>
    </row>
    <row r="74" spans="1:3" x14ac:dyDescent="0.2">
      <c r="B74" s="104" t="s">
        <v>332</v>
      </c>
      <c r="C74" s="143">
        <f>C73/C25</f>
        <v>44.408071548384733</v>
      </c>
    </row>
    <row r="75" spans="1:3" x14ac:dyDescent="0.2">
      <c r="B75" s="50" t="s">
        <v>319</v>
      </c>
      <c r="C75" s="141">
        <f>C74*C70</f>
        <v>137.9951957542601</v>
      </c>
    </row>
    <row r="76" spans="1:3" x14ac:dyDescent="0.2">
      <c r="B76" s="50"/>
      <c r="C76" s="141"/>
    </row>
    <row r="77" spans="1:3" s="133" customFormat="1" x14ac:dyDescent="0.2">
      <c r="A77" s="3" t="s">
        <v>229</v>
      </c>
      <c r="B77" s="134" t="s">
        <v>335</v>
      </c>
    </row>
    <row r="79" spans="1:3" x14ac:dyDescent="0.2">
      <c r="B79" s="66" t="s">
        <v>333</v>
      </c>
    </row>
    <row r="80" spans="1:3" x14ac:dyDescent="0.2">
      <c r="B80" t="s">
        <v>329</v>
      </c>
      <c r="C80" s="106">
        <f>C17</f>
        <v>98.87</v>
      </c>
    </row>
    <row r="81" spans="1:3" x14ac:dyDescent="0.2">
      <c r="B81" s="1" t="s">
        <v>337</v>
      </c>
      <c r="C81" s="146">
        <f>IS!K52</f>
        <v>3.3069000000000002</v>
      </c>
    </row>
    <row r="82" spans="1:3" x14ac:dyDescent="0.2">
      <c r="B82" s="145" t="s">
        <v>338</v>
      </c>
      <c r="C82" s="144">
        <f>C80/C81</f>
        <v>29.898091868517341</v>
      </c>
    </row>
    <row r="83" spans="1:3" x14ac:dyDescent="0.2">
      <c r="B83" s="145"/>
      <c r="C83" s="144"/>
    </row>
    <row r="84" spans="1:3" x14ac:dyDescent="0.2">
      <c r="B84" s="66" t="s">
        <v>325</v>
      </c>
      <c r="C84" s="144"/>
    </row>
    <row r="85" spans="1:3" x14ac:dyDescent="0.2">
      <c r="B85" s="147"/>
      <c r="C85" s="148"/>
    </row>
    <row r="87" spans="1:3" s="132" customFormat="1" x14ac:dyDescent="0.2">
      <c r="A87" s="3" t="s">
        <v>229</v>
      </c>
      <c r="B87" s="53" t="s">
        <v>334</v>
      </c>
    </row>
    <row r="88" spans="1:3" ht="3" customHeight="1" x14ac:dyDescent="0.2"/>
    <row r="89" spans="1:3" s="133" customFormat="1" x14ac:dyDescent="0.2">
      <c r="A89" s="3" t="s">
        <v>229</v>
      </c>
      <c r="B89" s="134" t="s">
        <v>322</v>
      </c>
    </row>
    <row r="90" spans="1:3" x14ac:dyDescent="0.2">
      <c r="B90" s="127"/>
      <c r="C90" s="52"/>
    </row>
    <row r="91" spans="1:3" x14ac:dyDescent="0.2">
      <c r="B91" s="50" t="s">
        <v>339</v>
      </c>
      <c r="C91" s="155">
        <v>3.44</v>
      </c>
    </row>
    <row r="93" spans="1:3" x14ac:dyDescent="0.2">
      <c r="B93" s="66" t="s">
        <v>340</v>
      </c>
    </row>
    <row r="94" spans="1:3" x14ac:dyDescent="0.2">
      <c r="B94" s="127" t="s">
        <v>312</v>
      </c>
      <c r="C94" s="51">
        <f>C19</f>
        <v>50491.977350513444</v>
      </c>
    </row>
    <row r="95" spans="1:3" x14ac:dyDescent="0.2">
      <c r="B95" s="104" t="s">
        <v>308</v>
      </c>
      <c r="C95" s="149">
        <f>C91</f>
        <v>3.44</v>
      </c>
    </row>
    <row r="96" spans="1:3" x14ac:dyDescent="0.2">
      <c r="B96" t="s">
        <v>309</v>
      </c>
      <c r="C96" s="52">
        <f>PRODUCT(C94:C95)</f>
        <v>173692.40208576625</v>
      </c>
    </row>
    <row r="97" spans="1:3" x14ac:dyDescent="0.2">
      <c r="B97" t="s">
        <v>288</v>
      </c>
      <c r="C97" s="51">
        <f>C23</f>
        <v>3543.2</v>
      </c>
    </row>
    <row r="98" spans="1:3" x14ac:dyDescent="0.2">
      <c r="B98" s="1" t="s">
        <v>289</v>
      </c>
      <c r="C98" s="61">
        <f>C24</f>
        <v>-15595.5</v>
      </c>
    </row>
    <row r="99" spans="1:3" x14ac:dyDescent="0.2">
      <c r="B99" s="129" t="s">
        <v>290</v>
      </c>
      <c r="C99" s="52">
        <f>SUM(C96:C98)</f>
        <v>161640.10208576627</v>
      </c>
    </row>
    <row r="100" spans="1:3" x14ac:dyDescent="0.2">
      <c r="B100" s="130" t="s">
        <v>320</v>
      </c>
      <c r="C100" s="61">
        <f>C25</f>
        <v>1137</v>
      </c>
    </row>
    <row r="101" spans="1:3" x14ac:dyDescent="0.2">
      <c r="B101" s="50" t="s">
        <v>319</v>
      </c>
      <c r="C101" s="131">
        <f>C99/C100</f>
        <v>142.16367817569594</v>
      </c>
    </row>
    <row r="103" spans="1:3" s="133" customFormat="1" x14ac:dyDescent="0.2">
      <c r="A103" s="3" t="s">
        <v>229</v>
      </c>
      <c r="B103" s="134" t="s">
        <v>323</v>
      </c>
    </row>
    <row r="105" spans="1:3" x14ac:dyDescent="0.2">
      <c r="B105" s="50" t="s">
        <v>341</v>
      </c>
      <c r="C105" s="155">
        <v>16.21</v>
      </c>
    </row>
    <row r="107" spans="1:3" x14ac:dyDescent="0.2">
      <c r="B107" s="66" t="s">
        <v>325</v>
      </c>
    </row>
    <row r="108" spans="1:3" x14ac:dyDescent="0.2">
      <c r="B108" s="127" t="s">
        <v>326</v>
      </c>
      <c r="C108" s="150">
        <f>C21</f>
        <v>10098.395470102689</v>
      </c>
    </row>
    <row r="109" spans="1:3" x14ac:dyDescent="0.2">
      <c r="B109" s="104" t="s">
        <v>324</v>
      </c>
      <c r="C109" s="149">
        <f>C105</f>
        <v>16.21</v>
      </c>
    </row>
    <row r="110" spans="1:3" x14ac:dyDescent="0.2">
      <c r="B110" s="50" t="s">
        <v>327</v>
      </c>
      <c r="C110" s="52">
        <f>PRODUCT(C108:C109)</f>
        <v>163694.99057036458</v>
      </c>
    </row>
    <row r="111" spans="1:3" x14ac:dyDescent="0.2">
      <c r="B111" s="127" t="s">
        <v>288</v>
      </c>
      <c r="C111" s="51">
        <f>C23</f>
        <v>3543.2</v>
      </c>
    </row>
    <row r="112" spans="1:3" x14ac:dyDescent="0.2">
      <c r="B112" s="104" t="s">
        <v>289</v>
      </c>
      <c r="C112" s="61">
        <f>C24</f>
        <v>-15595.5</v>
      </c>
    </row>
    <row r="113" spans="1:3" x14ac:dyDescent="0.2">
      <c r="B113" s="50" t="s">
        <v>290</v>
      </c>
      <c r="C113" s="52">
        <f>SUM(C110:C112)</f>
        <v>151642.69057036459</v>
      </c>
    </row>
    <row r="114" spans="1:3" x14ac:dyDescent="0.2">
      <c r="B114" s="104" t="s">
        <v>320</v>
      </c>
      <c r="C114" s="61">
        <f>C25</f>
        <v>1137</v>
      </c>
    </row>
    <row r="115" spans="1:3" x14ac:dyDescent="0.2">
      <c r="B115" s="139" t="s">
        <v>319</v>
      </c>
      <c r="C115" s="52">
        <f>C113/C114</f>
        <v>133.37088000911572</v>
      </c>
    </row>
    <row r="117" spans="1:3" s="133" customFormat="1" x14ac:dyDescent="0.2">
      <c r="A117" s="3" t="s">
        <v>229</v>
      </c>
      <c r="B117" s="134" t="s">
        <v>328</v>
      </c>
    </row>
    <row r="119" spans="1:3" x14ac:dyDescent="0.2">
      <c r="B119" s="50" t="s">
        <v>342</v>
      </c>
      <c r="C119" s="156">
        <v>2.65</v>
      </c>
    </row>
    <row r="121" spans="1:3" x14ac:dyDescent="0.2">
      <c r="B121" s="66" t="s">
        <v>325</v>
      </c>
    </row>
    <row r="122" spans="1:3" x14ac:dyDescent="0.2">
      <c r="B122" s="127" t="s">
        <v>312</v>
      </c>
      <c r="C122" s="51">
        <f>C19</f>
        <v>50491.977350513444</v>
      </c>
    </row>
    <row r="123" spans="1:3" x14ac:dyDescent="0.2">
      <c r="B123" s="104" t="s">
        <v>332</v>
      </c>
      <c r="C123" s="140">
        <f>C74</f>
        <v>44.408071548384733</v>
      </c>
    </row>
    <row r="124" spans="1:3" x14ac:dyDescent="0.2">
      <c r="B124" s="50" t="s">
        <v>319</v>
      </c>
      <c r="C124" s="141">
        <f>C123*C119</f>
        <v>117.68138960321954</v>
      </c>
    </row>
    <row r="126" spans="1:3" s="133" customFormat="1" x14ac:dyDescent="0.2">
      <c r="A126" s="3" t="s">
        <v>229</v>
      </c>
      <c r="B126" s="134" t="s">
        <v>335</v>
      </c>
    </row>
    <row r="128" spans="1:3" x14ac:dyDescent="0.2">
      <c r="B128" s="66" t="s">
        <v>333</v>
      </c>
    </row>
    <row r="129" spans="2:3" x14ac:dyDescent="0.2">
      <c r="B129" t="s">
        <v>329</v>
      </c>
      <c r="C129" s="106"/>
    </row>
    <row r="130" spans="2:3" x14ac:dyDescent="0.2">
      <c r="B130" s="1" t="s">
        <v>337</v>
      </c>
      <c r="C130" s="146"/>
    </row>
    <row r="131" spans="2:3" x14ac:dyDescent="0.2">
      <c r="B131" s="145" t="s">
        <v>338</v>
      </c>
      <c r="C131" s="144"/>
    </row>
    <row r="132" spans="2:3" x14ac:dyDescent="0.2">
      <c r="B132" s="145"/>
      <c r="C132" s="144"/>
    </row>
    <row r="133" spans="2:3" x14ac:dyDescent="0.2">
      <c r="B133" s="66" t="s">
        <v>325</v>
      </c>
      <c r="C133" s="144"/>
    </row>
    <row r="134" spans="2:3" x14ac:dyDescent="0.2">
      <c r="B134" s="147"/>
      <c r="C134" s="14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C5F6-CC16-3749-92E6-BAB34661C46F}">
  <dimension ref="A2:D22"/>
  <sheetViews>
    <sheetView showGridLines="0" zoomScale="183" workbookViewId="0">
      <selection activeCell="A7" sqref="A7"/>
    </sheetView>
  </sheetViews>
  <sheetFormatPr baseColWidth="10" defaultRowHeight="16" x14ac:dyDescent="0.2"/>
  <cols>
    <col min="1" max="1" width="2.83203125" style="3" customWidth="1"/>
  </cols>
  <sheetData>
    <row r="2" spans="1:4" s="1" customFormat="1" ht="24" x14ac:dyDescent="0.3">
      <c r="A2" s="3"/>
      <c r="B2" s="2" t="s">
        <v>294</v>
      </c>
    </row>
    <row r="3" spans="1:4" x14ac:dyDescent="0.2">
      <c r="B3" s="79" t="s">
        <v>307</v>
      </c>
    </row>
    <row r="4" spans="1:4" x14ac:dyDescent="0.2">
      <c r="A4" s="3" t="s">
        <v>229</v>
      </c>
      <c r="B4" s="66" t="s">
        <v>295</v>
      </c>
    </row>
    <row r="6" spans="1:4" x14ac:dyDescent="0.2">
      <c r="B6" t="s">
        <v>296</v>
      </c>
    </row>
    <row r="8" spans="1:4" x14ac:dyDescent="0.2">
      <c r="B8" t="s">
        <v>297</v>
      </c>
      <c r="D8" s="110">
        <f>Rf+Beta_e*MRP</f>
        <v>8.9340000000000003E-2</v>
      </c>
    </row>
    <row r="9" spans="1:4" x14ac:dyDescent="0.2">
      <c r="B9" t="s">
        <v>304</v>
      </c>
      <c r="D9" s="75">
        <v>0.99</v>
      </c>
    </row>
    <row r="10" spans="1:4" x14ac:dyDescent="0.2">
      <c r="B10" t="s">
        <v>305</v>
      </c>
      <c r="D10" s="108">
        <v>4.3799999999999999E-2</v>
      </c>
    </row>
    <row r="11" spans="1:4" x14ac:dyDescent="0.2">
      <c r="B11" t="s">
        <v>306</v>
      </c>
      <c r="D11" s="108">
        <v>4.5999999999999999E-2</v>
      </c>
    </row>
    <row r="13" spans="1:4" x14ac:dyDescent="0.2">
      <c r="B13" t="s">
        <v>298</v>
      </c>
      <c r="D13" s="75">
        <v>112882</v>
      </c>
    </row>
    <row r="14" spans="1:4" x14ac:dyDescent="0.2">
      <c r="B14" t="s">
        <v>299</v>
      </c>
      <c r="D14" s="111">
        <f>'BS Estimates'!G9</f>
        <v>15595.5</v>
      </c>
    </row>
    <row r="15" spans="1:4" x14ac:dyDescent="0.2">
      <c r="B15" t="s">
        <v>300</v>
      </c>
      <c r="D15" s="7">
        <f>E/(D+E)</f>
        <v>0.8786129867097352</v>
      </c>
    </row>
    <row r="16" spans="1:4" x14ac:dyDescent="0.2">
      <c r="B16" t="s">
        <v>302</v>
      </c>
      <c r="D16" s="7">
        <f>D/(D+E)</f>
        <v>0.12138701329026483</v>
      </c>
    </row>
    <row r="18" spans="2:4" x14ac:dyDescent="0.2">
      <c r="B18" t="s">
        <v>301</v>
      </c>
      <c r="D18" s="112">
        <f>IS!L24</f>
        <v>2.4338381454326562E-2</v>
      </c>
    </row>
    <row r="19" spans="2:4" x14ac:dyDescent="0.2">
      <c r="B19" t="s">
        <v>303</v>
      </c>
      <c r="D19" s="112">
        <f>1-'DCF model'!P77</f>
        <v>0.78100205303582648</v>
      </c>
    </row>
    <row r="21" spans="2:4" ht="17" thickBot="1" x14ac:dyDescent="0.25">
      <c r="B21" s="107" t="s">
        <v>240</v>
      </c>
      <c r="C21" s="107"/>
      <c r="D21" s="113">
        <f>Re*Equity_ratio+Rd*Tax_shield*Leverage</f>
        <v>8.080264813928148E-2</v>
      </c>
    </row>
    <row r="22" spans="2:4" ht="17" thickTop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FF12-4DF7-0446-82F6-6857394B7552}">
  <dimension ref="A1:U114"/>
  <sheetViews>
    <sheetView showGridLines="0" zoomScale="114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C18" sqref="C18"/>
    </sheetView>
  </sheetViews>
  <sheetFormatPr baseColWidth="10" defaultRowHeight="16" x14ac:dyDescent="0.2"/>
  <cols>
    <col min="1" max="1" width="2.83203125" style="3" customWidth="1"/>
    <col min="2" max="2" width="30.83203125" customWidth="1"/>
    <col min="3" max="3" width="19.5" bestFit="1" customWidth="1"/>
    <col min="15" max="15" width="10.83203125" style="56"/>
  </cols>
  <sheetData>
    <row r="1" spans="1:21" x14ac:dyDescent="0.2">
      <c r="F1" s="67">
        <v>2015</v>
      </c>
      <c r="G1" s="67">
        <f>+F1+1</f>
        <v>2016</v>
      </c>
      <c r="H1" s="67">
        <f t="shared" ref="H1:U1" si="0">+G1+1</f>
        <v>2017</v>
      </c>
      <c r="I1" s="67">
        <f t="shared" si="0"/>
        <v>2018</v>
      </c>
      <c r="J1" s="67">
        <f t="shared" si="0"/>
        <v>2019</v>
      </c>
      <c r="K1" s="67">
        <f t="shared" si="0"/>
        <v>2020</v>
      </c>
      <c r="L1" s="67">
        <f t="shared" si="0"/>
        <v>2021</v>
      </c>
      <c r="M1" s="67">
        <f t="shared" si="0"/>
        <v>2022</v>
      </c>
      <c r="N1" s="67">
        <f t="shared" si="0"/>
        <v>2023</v>
      </c>
      <c r="O1" s="69">
        <f t="shared" si="0"/>
        <v>2024</v>
      </c>
      <c r="P1" s="8">
        <f t="shared" si="0"/>
        <v>2025</v>
      </c>
      <c r="Q1" s="8">
        <f t="shared" si="0"/>
        <v>2026</v>
      </c>
      <c r="R1" s="8">
        <f t="shared" si="0"/>
        <v>2027</v>
      </c>
      <c r="S1" s="8">
        <f t="shared" si="0"/>
        <v>2028</v>
      </c>
      <c r="T1" s="8">
        <f t="shared" si="0"/>
        <v>2029</v>
      </c>
      <c r="U1" s="8">
        <f t="shared" si="0"/>
        <v>2030</v>
      </c>
    </row>
    <row r="2" spans="1:21" s="1" customFormat="1" ht="24" x14ac:dyDescent="0.3">
      <c r="A2" s="3"/>
      <c r="B2" s="2" t="s">
        <v>0</v>
      </c>
      <c r="O2" s="55"/>
    </row>
    <row r="4" spans="1:21" x14ac:dyDescent="0.2">
      <c r="A4" s="3" t="s">
        <v>229</v>
      </c>
      <c r="B4" s="53" t="s">
        <v>234</v>
      </c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70"/>
      <c r="P4" s="68"/>
      <c r="Q4" s="68"/>
      <c r="R4" s="68"/>
      <c r="S4" s="68"/>
      <c r="T4" s="68"/>
      <c r="U4" s="68"/>
    </row>
    <row r="6" spans="1:21" x14ac:dyDescent="0.2">
      <c r="B6" t="s">
        <v>1</v>
      </c>
      <c r="C6" s="5" t="str">
        <f>CFS!A5</f>
        <v>Starbucks Corporation</v>
      </c>
    </row>
    <row r="7" spans="1:21" x14ac:dyDescent="0.2">
      <c r="B7" t="s">
        <v>235</v>
      </c>
      <c r="C7" s="5" t="s">
        <v>2</v>
      </c>
    </row>
    <row r="8" spans="1:21" x14ac:dyDescent="0.2">
      <c r="B8" t="s">
        <v>3</v>
      </c>
      <c r="C8" s="120">
        <v>45599</v>
      </c>
      <c r="E8" s="4"/>
    </row>
    <row r="9" spans="1:21" x14ac:dyDescent="0.2">
      <c r="B9" t="s">
        <v>292</v>
      </c>
      <c r="C9" s="121">
        <v>45930</v>
      </c>
      <c r="E9" s="4"/>
      <c r="G9" s="7"/>
    </row>
    <row r="10" spans="1:21" x14ac:dyDescent="0.2">
      <c r="B10" t="s">
        <v>293</v>
      </c>
      <c r="C10" s="105">
        <f>YEARFRAC(C8,C9)</f>
        <v>0.90833333333333333</v>
      </c>
      <c r="E10" s="7"/>
    </row>
    <row r="11" spans="1:21" x14ac:dyDescent="0.2">
      <c r="B11" t="s">
        <v>237</v>
      </c>
      <c r="C11" s="72">
        <v>98.87</v>
      </c>
    </row>
    <row r="12" spans="1:21" x14ac:dyDescent="0.2">
      <c r="B12" t="s">
        <v>254</v>
      </c>
      <c r="C12" s="6">
        <f>U114</f>
        <v>39.832478675021711</v>
      </c>
    </row>
    <row r="13" spans="1:21" x14ac:dyDescent="0.2">
      <c r="B13" t="s">
        <v>255</v>
      </c>
      <c r="C13" s="7">
        <f>C12/C11-1</f>
        <v>-0.59712269975703736</v>
      </c>
    </row>
    <row r="15" spans="1:21" x14ac:dyDescent="0.2">
      <c r="A15" s="3" t="s">
        <v>229</v>
      </c>
      <c r="B15" s="53" t="s">
        <v>230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70"/>
      <c r="P15" s="68"/>
      <c r="Q15" s="68"/>
      <c r="R15" s="68"/>
      <c r="S15" s="68"/>
      <c r="T15" s="68"/>
      <c r="U15" s="68"/>
    </row>
    <row r="17" spans="1:21" x14ac:dyDescent="0.2">
      <c r="B17" s="66" t="s">
        <v>238</v>
      </c>
      <c r="F17" s="66" t="s">
        <v>267</v>
      </c>
      <c r="J17" s="66" t="s">
        <v>268</v>
      </c>
      <c r="N17" s="66" t="s">
        <v>269</v>
      </c>
    </row>
    <row r="18" spans="1:21" x14ac:dyDescent="0.2">
      <c r="B18" t="s">
        <v>239</v>
      </c>
      <c r="C18" s="126">
        <v>1</v>
      </c>
      <c r="F18" t="s">
        <v>240</v>
      </c>
      <c r="H18" s="114">
        <f>WACC!D21</f>
        <v>8.080264813928148E-2</v>
      </c>
      <c r="J18" t="s">
        <v>240</v>
      </c>
      <c r="K18" s="122">
        <v>7.9200000000000007E-2</v>
      </c>
      <c r="N18" t="s">
        <v>240</v>
      </c>
      <c r="P18" s="122">
        <v>7.4999999999999997E-2</v>
      </c>
    </row>
    <row r="19" spans="1:21" x14ac:dyDescent="0.2">
      <c r="B19" t="s">
        <v>240</v>
      </c>
      <c r="C19" s="110">
        <f>CHOOSE(scenario,H18,K18,P18)</f>
        <v>8.080264813928148E-2</v>
      </c>
      <c r="F19" t="s">
        <v>241</v>
      </c>
      <c r="H19" s="122">
        <v>2.5999999999999999E-2</v>
      </c>
      <c r="J19" t="s">
        <v>241</v>
      </c>
      <c r="K19" s="122">
        <v>2.8000000000000001E-2</v>
      </c>
      <c r="N19" t="s">
        <v>241</v>
      </c>
      <c r="P19" s="122">
        <v>0.03</v>
      </c>
    </row>
    <row r="20" spans="1:21" x14ac:dyDescent="0.2">
      <c r="B20" t="s">
        <v>241</v>
      </c>
      <c r="C20" s="110">
        <f>CHOOSE(scenario,H19,K19,P19)</f>
        <v>2.5999999999999999E-2</v>
      </c>
      <c r="F20" t="s">
        <v>270</v>
      </c>
      <c r="H20" s="123">
        <v>0.9</v>
      </c>
      <c r="N20" t="s">
        <v>270</v>
      </c>
      <c r="P20" s="123">
        <v>1.1000000000000001</v>
      </c>
    </row>
    <row r="21" spans="1:21" x14ac:dyDescent="0.2">
      <c r="F21" t="s">
        <v>271</v>
      </c>
      <c r="H21" s="123">
        <v>0.95</v>
      </c>
      <c r="N21" t="s">
        <v>271</v>
      </c>
      <c r="P21" s="123">
        <v>1.05</v>
      </c>
    </row>
    <row r="22" spans="1:21" x14ac:dyDescent="0.2">
      <c r="F22" t="s">
        <v>272</v>
      </c>
      <c r="H22" s="123">
        <v>0.18</v>
      </c>
      <c r="N22" t="s">
        <v>265</v>
      </c>
      <c r="P22" s="123">
        <v>0.22</v>
      </c>
    </row>
    <row r="23" spans="1:21" x14ac:dyDescent="0.2">
      <c r="F23" t="s">
        <v>273</v>
      </c>
      <c r="H23" s="123">
        <v>0.2</v>
      </c>
      <c r="N23" t="s">
        <v>266</v>
      </c>
      <c r="P23" s="123">
        <v>0.26</v>
      </c>
    </row>
    <row r="24" spans="1:21" x14ac:dyDescent="0.2">
      <c r="F24" t="s">
        <v>274</v>
      </c>
      <c r="H24" s="123">
        <v>0.13</v>
      </c>
      <c r="N24" t="s">
        <v>274</v>
      </c>
      <c r="O24"/>
      <c r="P24" s="124">
        <v>0.16</v>
      </c>
    </row>
    <row r="25" spans="1:21" x14ac:dyDescent="0.2">
      <c r="F25" t="s">
        <v>275</v>
      </c>
      <c r="H25" s="123">
        <v>0.13</v>
      </c>
      <c r="N25" t="s">
        <v>275</v>
      </c>
      <c r="O25"/>
      <c r="P25" s="124">
        <v>0.19</v>
      </c>
    </row>
    <row r="26" spans="1:21" x14ac:dyDescent="0.2">
      <c r="F26" t="s">
        <v>278</v>
      </c>
      <c r="H26" s="123">
        <v>0.08</v>
      </c>
      <c r="N26" t="s">
        <v>278</v>
      </c>
      <c r="O26"/>
      <c r="P26" s="124">
        <v>0.06</v>
      </c>
    </row>
    <row r="30" spans="1:21" x14ac:dyDescent="0.2">
      <c r="A30" s="3" t="s">
        <v>229</v>
      </c>
      <c r="B30" s="53" t="s">
        <v>231</v>
      </c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70"/>
      <c r="P30" s="68"/>
      <c r="Q30" s="68"/>
      <c r="R30" s="68"/>
      <c r="S30" s="68"/>
      <c r="T30" s="68"/>
      <c r="U30" s="68"/>
    </row>
    <row r="32" spans="1:21" x14ac:dyDescent="0.2">
      <c r="B32" t="s">
        <v>245</v>
      </c>
      <c r="F32" s="63">
        <f>IS!B10</f>
        <v>19148.7</v>
      </c>
      <c r="G32" s="63">
        <f>IS!C10</f>
        <v>21311</v>
      </c>
      <c r="H32" s="63">
        <f>IS!D10</f>
        <v>22383.8</v>
      </c>
      <c r="I32" s="63">
        <f>IS!E10</f>
        <v>24719.9</v>
      </c>
      <c r="J32" s="63">
        <f>IS!F10</f>
        <v>26501.599999999999</v>
      </c>
      <c r="K32" s="63">
        <f>IS!G10</f>
        <v>23512.5</v>
      </c>
      <c r="L32" s="63">
        <f>IS!H10</f>
        <v>29058.799999999999</v>
      </c>
      <c r="M32" s="63">
        <f>IS!I10</f>
        <v>32228.3</v>
      </c>
      <c r="N32" s="63">
        <f>IS!J10</f>
        <v>35952</v>
      </c>
      <c r="O32" s="64">
        <f>IS!K10</f>
        <v>36176.199999999997</v>
      </c>
      <c r="P32" s="63">
        <f>'IS Estimates'!G4</f>
        <v>37609.800000000003</v>
      </c>
      <c r="Q32" s="63">
        <f>'IS Estimates'!H4</f>
        <v>40111.4</v>
      </c>
      <c r="R32" s="63">
        <f>'IS Estimates'!I4</f>
        <v>43529.3</v>
      </c>
      <c r="S32" s="63">
        <f>'IS Estimates'!J4</f>
        <v>46596.6</v>
      </c>
      <c r="T32" s="63">
        <f>'IS Estimates'!K4</f>
        <v>50804.9</v>
      </c>
      <c r="U32" s="63">
        <f>'IS Estimates'!L4</f>
        <v>55020.3</v>
      </c>
    </row>
    <row r="33" spans="1:21" x14ac:dyDescent="0.2">
      <c r="B33" s="62" t="s">
        <v>246</v>
      </c>
      <c r="G33" s="54">
        <f>G32/F32-1</f>
        <v>0.11292150380965804</v>
      </c>
      <c r="H33" s="54">
        <f t="shared" ref="H33:U33" si="1">H32/G32-1</f>
        <v>5.0340199896766968E-2</v>
      </c>
      <c r="I33" s="54">
        <f t="shared" si="1"/>
        <v>0.10436565730573011</v>
      </c>
      <c r="J33" s="54">
        <f t="shared" si="1"/>
        <v>7.2075534286141885E-2</v>
      </c>
      <c r="K33" s="54">
        <f t="shared" si="1"/>
        <v>-0.11278941648806107</v>
      </c>
      <c r="L33" s="54">
        <f t="shared" si="1"/>
        <v>0.23588729399255715</v>
      </c>
      <c r="M33" s="54">
        <f t="shared" si="1"/>
        <v>0.10907195066554709</v>
      </c>
      <c r="N33" s="54">
        <f t="shared" si="1"/>
        <v>0.1155413099667062</v>
      </c>
      <c r="O33" s="57">
        <f t="shared" si="1"/>
        <v>6.2360925678681678E-3</v>
      </c>
      <c r="P33" s="54">
        <f t="shared" si="1"/>
        <v>3.9628263886201553E-2</v>
      </c>
      <c r="Q33" s="54">
        <f t="shared" si="1"/>
        <v>6.6514578647054678E-2</v>
      </c>
      <c r="R33" s="54">
        <f t="shared" si="1"/>
        <v>8.5210189621903076E-2</v>
      </c>
      <c r="S33" s="54">
        <f t="shared" si="1"/>
        <v>7.0465180924113024E-2</v>
      </c>
      <c r="T33" s="54">
        <f t="shared" si="1"/>
        <v>9.0313456346600374E-2</v>
      </c>
      <c r="U33" s="54">
        <f t="shared" si="1"/>
        <v>8.2972311725837411E-2</v>
      </c>
    </row>
    <row r="34" spans="1:21" x14ac:dyDescent="0.2">
      <c r="K34" s="46"/>
      <c r="L34" s="46"/>
      <c r="M34" s="46"/>
      <c r="N34" s="46"/>
      <c r="O34" s="71"/>
      <c r="P34" s="46"/>
    </row>
    <row r="35" spans="1:21" x14ac:dyDescent="0.2">
      <c r="B35" t="s">
        <v>137</v>
      </c>
      <c r="F35" s="76">
        <f>IS!B59</f>
        <v>4300.6000000000004</v>
      </c>
      <c r="G35" s="76">
        <f>IS!C59</f>
        <v>4939.5</v>
      </c>
      <c r="H35" s="76">
        <f>IS!D59</f>
        <v>5018.3</v>
      </c>
      <c r="I35" s="76">
        <f>IS!E59</f>
        <v>5165.6000000000004</v>
      </c>
      <c r="J35" s="76">
        <f>IS!F59</f>
        <v>5353.9</v>
      </c>
      <c r="K35" s="76">
        <f>IS!G59</f>
        <v>4217.3999999999996</v>
      </c>
      <c r="L35" s="76">
        <f>IS!H59</f>
        <v>7437.2</v>
      </c>
      <c r="M35" s="76">
        <f>IS!I59</f>
        <v>7304.4</v>
      </c>
      <c r="N35" s="76">
        <f>IS!J59</f>
        <v>6824.7</v>
      </c>
      <c r="O35" s="76">
        <f>IS!K59</f>
        <v>7935.1</v>
      </c>
      <c r="P35" s="77">
        <f>'IS Estimates'!G13</f>
        <v>6998.44</v>
      </c>
      <c r="Q35" s="76">
        <f>'IS Estimates'!H13</f>
        <v>7803.61</v>
      </c>
      <c r="R35" s="76">
        <f>'IS Estimates'!I13</f>
        <v>8862.69</v>
      </c>
      <c r="S35" s="76">
        <f>'IS Estimates'!J13</f>
        <v>9810.2999999999993</v>
      </c>
      <c r="T35" s="76">
        <f>'IS Estimates'!K13</f>
        <v>10945.9</v>
      </c>
      <c r="U35" s="76">
        <f>'IS Estimates'!L13</f>
        <v>12196.9</v>
      </c>
    </row>
    <row r="36" spans="1:21" x14ac:dyDescent="0.2">
      <c r="B36" s="62" t="s">
        <v>247</v>
      </c>
      <c r="F36" s="54">
        <f>F35/F$32</f>
        <v>0.22458965882801443</v>
      </c>
      <c r="G36" s="54">
        <f t="shared" ref="G36:O36" si="2">G35/G32</f>
        <v>0.23178170897658487</v>
      </c>
      <c r="H36" s="54">
        <f t="shared" si="2"/>
        <v>0.22419338986231116</v>
      </c>
      <c r="I36" s="54">
        <f t="shared" si="2"/>
        <v>0.20896524662316596</v>
      </c>
      <c r="J36" s="54">
        <f t="shared" si="2"/>
        <v>0.20202176472363934</v>
      </c>
      <c r="K36" s="54">
        <f t="shared" si="2"/>
        <v>0.17936842105263157</v>
      </c>
      <c r="L36" s="54">
        <f t="shared" si="2"/>
        <v>0.25593623962448553</v>
      </c>
      <c r="M36" s="54">
        <f t="shared" si="2"/>
        <v>0.22664552582668027</v>
      </c>
      <c r="N36" s="54">
        <f t="shared" si="2"/>
        <v>0.18982810413885179</v>
      </c>
      <c r="O36" s="54">
        <f t="shared" si="2"/>
        <v>0.21934586827803917</v>
      </c>
      <c r="P36" s="59">
        <f t="shared" ref="P36:U36" si="3">P35/P32</f>
        <v>0.1860802237714638</v>
      </c>
      <c r="Q36" s="54">
        <f t="shared" si="3"/>
        <v>0.19454843261516674</v>
      </c>
      <c r="R36" s="54">
        <f t="shared" si="3"/>
        <v>0.20360286060193938</v>
      </c>
      <c r="S36" s="54">
        <f t="shared" si="3"/>
        <v>0.21053682028302492</v>
      </c>
      <c r="T36" s="54">
        <f t="shared" si="3"/>
        <v>0.21544969087627372</v>
      </c>
      <c r="U36" s="54">
        <f t="shared" si="3"/>
        <v>0.22167999810978856</v>
      </c>
    </row>
    <row r="38" spans="1:21" x14ac:dyDescent="0.2">
      <c r="B38" t="s">
        <v>138</v>
      </c>
      <c r="F38" s="76">
        <f>IS!B60</f>
        <v>3366.8</v>
      </c>
      <c r="G38" s="76">
        <f>IS!C60</f>
        <v>3909.4</v>
      </c>
      <c r="H38" s="76">
        <f>IS!D60</f>
        <v>3951.2</v>
      </c>
      <c r="I38" s="76">
        <f>IS!E60</f>
        <v>3859.7</v>
      </c>
      <c r="J38" s="76">
        <f>IS!F60</f>
        <v>3904.6</v>
      </c>
      <c r="K38" s="76">
        <f>IS!G60</f>
        <v>1516.6</v>
      </c>
      <c r="L38" s="76">
        <f>IS!H60</f>
        <v>4664.5</v>
      </c>
      <c r="M38" s="76">
        <f>IS!I60</f>
        <v>4277.3</v>
      </c>
      <c r="N38" s="76">
        <f>IS!J60</f>
        <v>5374.4</v>
      </c>
      <c r="O38" s="78">
        <f>IS!K60</f>
        <v>5107.6000000000004</v>
      </c>
      <c r="P38" s="76">
        <f>'IS Estimates'!G17</f>
        <v>5362.79</v>
      </c>
      <c r="Q38" s="76">
        <f>'IS Estimates'!H17</f>
        <v>6213.02</v>
      </c>
      <c r="R38" s="76">
        <f>'IS Estimates'!I17</f>
        <v>7123.84</v>
      </c>
      <c r="S38" s="76">
        <f>'IS Estimates'!J17</f>
        <v>8482.4500000000007</v>
      </c>
      <c r="T38" s="76">
        <f>'IS Estimates'!K17</f>
        <v>8760.5</v>
      </c>
      <c r="U38" s="76">
        <f>'IS Estimates'!L17</f>
        <v>9833.4</v>
      </c>
    </row>
    <row r="39" spans="1:21" x14ac:dyDescent="0.2">
      <c r="B39" s="62" t="s">
        <v>247</v>
      </c>
      <c r="F39" s="54">
        <f>F38/F$32</f>
        <v>0.17582394627311515</v>
      </c>
      <c r="G39" s="54">
        <f t="shared" ref="G39:O39" si="4">G38/G$32</f>
        <v>0.18344516916146592</v>
      </c>
      <c r="H39" s="54">
        <f t="shared" si="4"/>
        <v>0.17652051930413959</v>
      </c>
      <c r="I39" s="54">
        <f t="shared" si="4"/>
        <v>0.15613736301522255</v>
      </c>
      <c r="J39" s="54">
        <f t="shared" si="4"/>
        <v>0.14733450055845684</v>
      </c>
      <c r="K39" s="54">
        <f t="shared" si="4"/>
        <v>6.4501860712387019E-2</v>
      </c>
      <c r="L39" s="54">
        <f t="shared" si="4"/>
        <v>0.16051936074442166</v>
      </c>
      <c r="M39" s="54">
        <f t="shared" si="4"/>
        <v>0.13271875959948246</v>
      </c>
      <c r="N39" s="54">
        <f>N38/N$32</f>
        <v>0.14948820649755229</v>
      </c>
      <c r="O39" s="57">
        <f t="shared" si="4"/>
        <v>0.14118674708786441</v>
      </c>
      <c r="P39" s="54">
        <f t="shared" ref="P39" si="5">P38/P$32</f>
        <v>0.14259022914240435</v>
      </c>
      <c r="Q39" s="54">
        <f t="shared" ref="Q39" si="6">Q38/Q$32</f>
        <v>0.15489411987614493</v>
      </c>
      <c r="R39" s="54">
        <f t="shared" ref="R39" si="7">R38/R$32</f>
        <v>0.16365620398214537</v>
      </c>
      <c r="S39" s="54">
        <f t="shared" ref="S39" si="8">S38/S$32</f>
        <v>0.18204010593047565</v>
      </c>
      <c r="T39" s="54">
        <f t="shared" ref="T39" si="9">T38/T$32</f>
        <v>0.17243415497324077</v>
      </c>
      <c r="U39" s="54">
        <f t="shared" ref="U39" si="10">U38/U$32</f>
        <v>0.17872312582810343</v>
      </c>
    </row>
    <row r="40" spans="1:21" x14ac:dyDescent="0.2">
      <c r="B40" s="62"/>
    </row>
    <row r="41" spans="1:21" x14ac:dyDescent="0.2">
      <c r="B41" t="s">
        <v>248</v>
      </c>
      <c r="F41" s="76">
        <f>IS!B38</f>
        <v>1143.7</v>
      </c>
      <c r="G41" s="76">
        <f>IS!C38</f>
        <v>1379.7</v>
      </c>
      <c r="H41" s="76">
        <f>IS!D38</f>
        <v>1432.6</v>
      </c>
      <c r="I41" s="76">
        <f>IS!E38</f>
        <v>1262</v>
      </c>
      <c r="J41" s="76">
        <f>IS!F38</f>
        <v>871.6</v>
      </c>
      <c r="K41" s="76">
        <f>IS!G38</f>
        <v>239.7</v>
      </c>
      <c r="L41" s="76">
        <f>IS!H38</f>
        <v>1156.5999999999999</v>
      </c>
      <c r="M41" s="76">
        <f>IS!I38</f>
        <v>948.5</v>
      </c>
      <c r="N41" s="76">
        <f>IS!J38</f>
        <v>1277.2</v>
      </c>
      <c r="O41" s="78">
        <f>IS!K38</f>
        <v>1207.3</v>
      </c>
      <c r="P41" s="76">
        <f>'IS Estimates'!G32</f>
        <v>1174.44</v>
      </c>
      <c r="Q41" s="76">
        <f>'IS Estimates'!H32</f>
        <v>1362.31</v>
      </c>
      <c r="R41" s="76">
        <f>'IS Estimates'!I32</f>
        <v>1599.05</v>
      </c>
      <c r="S41" s="76">
        <f>'IS Estimates'!J32</f>
        <v>1934.05</v>
      </c>
      <c r="T41" s="76">
        <f>'IS Estimates'!K32</f>
        <v>2020.4</v>
      </c>
      <c r="U41" s="76">
        <f>'IS Estimates'!L32</f>
        <v>2283.1999999999998</v>
      </c>
    </row>
    <row r="42" spans="1:21" x14ac:dyDescent="0.2">
      <c r="B42" s="62" t="s">
        <v>256</v>
      </c>
      <c r="F42" s="54">
        <f>F41/F38</f>
        <v>0.33969941784483781</v>
      </c>
      <c r="G42" s="54">
        <f t="shared" ref="G42:U42" si="11">G41/G38</f>
        <v>0.35291860643577022</v>
      </c>
      <c r="H42" s="54">
        <f t="shared" si="11"/>
        <v>0.36257339542417494</v>
      </c>
      <c r="I42" s="54">
        <f t="shared" si="11"/>
        <v>0.3269684172345001</v>
      </c>
      <c r="J42" s="54">
        <f t="shared" si="11"/>
        <v>0.2232238897710393</v>
      </c>
      <c r="K42" s="54">
        <f t="shared" si="11"/>
        <v>0.15805090333641039</v>
      </c>
      <c r="L42" s="54">
        <f t="shared" si="11"/>
        <v>0.2479579804909422</v>
      </c>
      <c r="M42" s="54">
        <f t="shared" si="11"/>
        <v>0.22175203983821568</v>
      </c>
      <c r="N42" s="54">
        <f>N41/N38</f>
        <v>0.23764513247990476</v>
      </c>
      <c r="O42" s="54">
        <f t="shared" si="11"/>
        <v>0.23637324770929594</v>
      </c>
      <c r="P42" s="59">
        <f>P41/P38</f>
        <v>0.21899794696417352</v>
      </c>
      <c r="Q42" s="54">
        <f t="shared" si="11"/>
        <v>0.21926695874148158</v>
      </c>
      <c r="R42" s="54">
        <f t="shared" si="11"/>
        <v>0.22446461458988409</v>
      </c>
      <c r="S42" s="54">
        <f t="shared" si="11"/>
        <v>0.22800605957005343</v>
      </c>
      <c r="T42" s="54">
        <f t="shared" si="11"/>
        <v>0.23062610581587811</v>
      </c>
      <c r="U42" s="54">
        <f t="shared" si="11"/>
        <v>0.2321882563508044</v>
      </c>
    </row>
    <row r="44" spans="1:21" x14ac:dyDescent="0.2">
      <c r="A44" s="3" t="s">
        <v>229</v>
      </c>
      <c r="B44" s="53" t="s">
        <v>232</v>
      </c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70"/>
      <c r="P44" s="68"/>
      <c r="Q44" s="68"/>
      <c r="R44" s="68"/>
      <c r="S44" s="68"/>
      <c r="T44" s="68"/>
      <c r="U44" s="68"/>
    </row>
    <row r="46" spans="1:21" x14ac:dyDescent="0.2">
      <c r="B46" t="s">
        <v>249</v>
      </c>
      <c r="F46" s="76">
        <f>IS!B61</f>
        <v>933.8</v>
      </c>
      <c r="G46" s="76">
        <f>IS!C61</f>
        <v>1030.0999999999999</v>
      </c>
      <c r="H46" s="76">
        <f>IS!D61</f>
        <v>1067.0999999999999</v>
      </c>
      <c r="I46" s="76">
        <f>IS!E61</f>
        <v>1305.9000000000001</v>
      </c>
      <c r="J46" s="76">
        <f>IS!F61</f>
        <v>1449.3</v>
      </c>
      <c r="K46" s="76">
        <f>IS!G61</f>
        <v>2700.8</v>
      </c>
      <c r="L46" s="76">
        <f>IS!H61</f>
        <v>2772.7</v>
      </c>
      <c r="M46" s="76">
        <f>IS!I61</f>
        <v>3027.1</v>
      </c>
      <c r="N46" s="76">
        <f>IS!J61</f>
        <v>1450.3</v>
      </c>
      <c r="O46" s="78">
        <f>IS!K61</f>
        <v>2827.5</v>
      </c>
      <c r="P46" s="76">
        <f>'IS Estimates'!G16</f>
        <v>1620.4</v>
      </c>
      <c r="Q46" s="76">
        <f>'IS Estimates'!H16</f>
        <v>1715.81</v>
      </c>
      <c r="R46" s="76">
        <f>'IS Estimates'!I16</f>
        <v>1826.62</v>
      </c>
      <c r="S46" s="76">
        <f>'IS Estimates'!J16</f>
        <v>2032.25</v>
      </c>
      <c r="T46" s="76">
        <f>'IS Estimates'!K16</f>
        <v>2185.5</v>
      </c>
      <c r="U46" s="76">
        <f>'IS Estimates'!L16</f>
        <v>2363.5</v>
      </c>
    </row>
    <row r="47" spans="1:21" x14ac:dyDescent="0.2">
      <c r="B47" s="62" t="s">
        <v>247</v>
      </c>
      <c r="F47" s="54">
        <f>F46/F32</f>
        <v>4.8765712554899282E-2</v>
      </c>
      <c r="G47" s="54">
        <f t="shared" ref="G47:O47" si="12">G46/G32</f>
        <v>4.8336539815118949E-2</v>
      </c>
      <c r="H47" s="54">
        <f t="shared" si="12"/>
        <v>4.7672870558171529E-2</v>
      </c>
      <c r="I47" s="54">
        <f t="shared" si="12"/>
        <v>5.2827883607943396E-2</v>
      </c>
      <c r="J47" s="54">
        <f t="shared" si="12"/>
        <v>5.4687264165182478E-2</v>
      </c>
      <c r="K47" s="54">
        <f t="shared" si="12"/>
        <v>0.11486656034024456</v>
      </c>
      <c r="L47" s="54">
        <f t="shared" si="12"/>
        <v>9.5416878880063866E-2</v>
      </c>
      <c r="M47" s="54">
        <f t="shared" si="12"/>
        <v>9.3926766227197839E-2</v>
      </c>
      <c r="N47" s="54">
        <f t="shared" si="12"/>
        <v>4.0339897641299506E-2</v>
      </c>
      <c r="O47" s="57">
        <f t="shared" si="12"/>
        <v>7.8159121190174763E-2</v>
      </c>
      <c r="P47" s="54">
        <f t="shared" ref="P47:U47" si="13">P46/P32</f>
        <v>4.3084515206143079E-2</v>
      </c>
      <c r="Q47" s="54">
        <f t="shared" si="13"/>
        <v>4.2776118509949786E-2</v>
      </c>
      <c r="R47" s="54">
        <f t="shared" si="13"/>
        <v>4.1962999634728784E-2</v>
      </c>
      <c r="S47" s="54">
        <f t="shared" si="13"/>
        <v>4.3613697136700963E-2</v>
      </c>
      <c r="T47" s="54">
        <f t="shared" si="13"/>
        <v>4.3017504217112916E-2</v>
      </c>
      <c r="U47" s="54">
        <f t="shared" si="13"/>
        <v>4.295687228168512E-2</v>
      </c>
    </row>
    <row r="48" spans="1:21" x14ac:dyDescent="0.2">
      <c r="B48" s="62" t="s">
        <v>250</v>
      </c>
    </row>
    <row r="50" spans="1:21" x14ac:dyDescent="0.2">
      <c r="B50" t="s">
        <v>251</v>
      </c>
      <c r="F50" s="63">
        <f>CFS!B27</f>
        <v>-1303.7</v>
      </c>
      <c r="G50" s="63">
        <f>CFS!C27</f>
        <v>-1440.3</v>
      </c>
      <c r="H50" s="63">
        <f>CFS!D27</f>
        <v>-1519.4</v>
      </c>
      <c r="I50" s="63">
        <f>CFS!E27</f>
        <v>-1976.4</v>
      </c>
      <c r="J50" s="63">
        <f>CFS!F27</f>
        <v>-1806.6</v>
      </c>
      <c r="K50" s="63">
        <f>CFS!G27</f>
        <v>-1483.6</v>
      </c>
      <c r="L50" s="63">
        <f>CFS!H27</f>
        <v>-1470</v>
      </c>
      <c r="M50" s="63">
        <f>CFS!I27</f>
        <v>-1841.3</v>
      </c>
      <c r="N50" s="63">
        <f>CFS!J27</f>
        <v>-2333.6</v>
      </c>
      <c r="O50" s="64">
        <f>CFS!K27</f>
        <v>-2777.5</v>
      </c>
      <c r="P50" s="63">
        <f>-'CFS Estimates'!G4</f>
        <v>-2707.57</v>
      </c>
      <c r="Q50" s="63">
        <f>-'CFS Estimates'!H4</f>
        <v>-2978.22</v>
      </c>
      <c r="R50" s="63">
        <f>-'CFS Estimates'!I4</f>
        <v>-3359.48</v>
      </c>
      <c r="S50" s="63">
        <f>-'CFS Estimates'!J4</f>
        <v>-3833</v>
      </c>
      <c r="T50" s="58">
        <f>T32*T51</f>
        <v>-3957.4541098410386</v>
      </c>
      <c r="U50" s="58">
        <f>U32*U51</f>
        <v>-4352.6887339493524</v>
      </c>
    </row>
    <row r="51" spans="1:21" x14ac:dyDescent="0.2">
      <c r="B51" s="62" t="s">
        <v>247</v>
      </c>
      <c r="F51" s="54">
        <f>F50/F$32</f>
        <v>-6.8082950800837649E-2</v>
      </c>
      <c r="G51" s="54">
        <f t="shared" ref="G51:O51" si="14">G50/G$32</f>
        <v>-6.7584815353573274E-2</v>
      </c>
      <c r="H51" s="54">
        <f t="shared" si="14"/>
        <v>-6.7879448529740261E-2</v>
      </c>
      <c r="I51" s="54">
        <f t="shared" si="14"/>
        <v>-7.9951779740209297E-2</v>
      </c>
      <c r="J51" s="54">
        <f t="shared" si="14"/>
        <v>-6.8169469013191653E-2</v>
      </c>
      <c r="K51" s="54">
        <f t="shared" si="14"/>
        <v>-6.3098351940457195E-2</v>
      </c>
      <c r="L51" s="54">
        <f t="shared" si="14"/>
        <v>-5.0587085495615788E-2</v>
      </c>
      <c r="M51" s="54">
        <f t="shared" si="14"/>
        <v>-5.7133016634448607E-2</v>
      </c>
      <c r="N51" s="54">
        <f t="shared" si="14"/>
        <v>-6.490876724521584E-2</v>
      </c>
      <c r="O51" s="57">
        <f t="shared" si="14"/>
        <v>-7.6776997031197308E-2</v>
      </c>
      <c r="P51" s="54">
        <f t="shared" ref="P51" si="15">P50/P$32</f>
        <v>-7.1991076793814376E-2</v>
      </c>
      <c r="Q51" s="54">
        <f t="shared" ref="Q51" si="16">Q50/Q$32</f>
        <v>-7.4248717322257504E-2</v>
      </c>
      <c r="R51" s="54">
        <f t="shared" ref="R51" si="17">R50/R$32</f>
        <v>-7.7177441401538732E-2</v>
      </c>
      <c r="S51" s="54">
        <f t="shared" ref="S51" si="18">S50/S$32</f>
        <v>-8.2259220629831362E-2</v>
      </c>
      <c r="T51" s="7">
        <f>AVERAGE(Q51:S51)</f>
        <v>-7.7895126451209204E-2</v>
      </c>
      <c r="U51" s="7">
        <f>AVERAGE(R51:T51)</f>
        <v>-7.9110596160859761E-2</v>
      </c>
    </row>
    <row r="52" spans="1:21" x14ac:dyDescent="0.2">
      <c r="B52" s="62"/>
    </row>
    <row r="53" spans="1:21" x14ac:dyDescent="0.2">
      <c r="B53" t="s">
        <v>252</v>
      </c>
      <c r="F53" s="63">
        <f>CFS!B19</f>
        <v>278.8</v>
      </c>
      <c r="G53" s="63">
        <f>CFS!C19</f>
        <v>353</v>
      </c>
      <c r="H53" s="63">
        <f>CFS!D19</f>
        <v>89.7</v>
      </c>
      <c r="I53" s="63">
        <f>CFS!E19</f>
        <v>6913.7</v>
      </c>
      <c r="J53" s="63">
        <f>CFS!F19</f>
        <v>1648.7</v>
      </c>
      <c r="K53" s="63">
        <f>CFS!G19</f>
        <v>-2676.4</v>
      </c>
      <c r="L53" s="63">
        <f>CFS!H19</f>
        <v>-501.2</v>
      </c>
      <c r="M53" s="63">
        <f>CFS!I19</f>
        <v>-2133</v>
      </c>
      <c r="N53" s="63">
        <f>CFS!J19</f>
        <v>-1133.4000000000001</v>
      </c>
      <c r="O53" s="64">
        <f>CFS!K19</f>
        <v>246.1</v>
      </c>
      <c r="P53" s="58">
        <f>P32*P54</f>
        <v>-1016.9164072044082</v>
      </c>
      <c r="Q53" s="58">
        <f t="shared" ref="Q53:U53" si="19">Q32*Q54</f>
        <v>-1182.7369936096111</v>
      </c>
      <c r="R53" s="58">
        <f t="shared" si="19"/>
        <v>-884.16125815608336</v>
      </c>
      <c r="S53" s="58">
        <f t="shared" si="19"/>
        <v>-815.83607066493516</v>
      </c>
      <c r="T53" s="58">
        <f t="shared" si="19"/>
        <v>-1198.300392875339</v>
      </c>
      <c r="U53" s="58">
        <f t="shared" si="19"/>
        <v>-1250.2396871649291</v>
      </c>
    </row>
    <row r="54" spans="1:21" x14ac:dyDescent="0.2">
      <c r="B54" s="62" t="s">
        <v>247</v>
      </c>
      <c r="F54" s="54">
        <f>F53/F$32</f>
        <v>1.4559735125622105E-2</v>
      </c>
      <c r="G54" s="54">
        <f t="shared" ref="G54:O54" si="20">G53/G$32</f>
        <v>1.6564215663272489E-2</v>
      </c>
      <c r="H54" s="54">
        <f t="shared" si="20"/>
        <v>4.0073624674988161E-3</v>
      </c>
      <c r="I54" s="54">
        <f t="shared" si="20"/>
        <v>0.27968155210983858</v>
      </c>
      <c r="J54" s="54">
        <f t="shared" si="20"/>
        <v>6.2211338183354975E-2</v>
      </c>
      <c r="K54" s="54">
        <f t="shared" si="20"/>
        <v>-0.11382881446039342</v>
      </c>
      <c r="L54" s="54">
        <f t="shared" si="20"/>
        <v>-1.7247787245171859E-2</v>
      </c>
      <c r="M54" s="54">
        <f t="shared" si="20"/>
        <v>-6.6184068039580116E-2</v>
      </c>
      <c r="N54" s="54">
        <f t="shared" si="20"/>
        <v>-3.1525367156208281E-2</v>
      </c>
      <c r="O54" s="57">
        <f t="shared" si="20"/>
        <v>6.8028151104870061E-3</v>
      </c>
      <c r="P54" s="7">
        <f>AVERAGE(L54:O54)</f>
        <v>-2.703860183261831E-2</v>
      </c>
      <c r="Q54" s="7">
        <f t="shared" ref="Q54:U54" si="21">AVERAGE(M54:P54)</f>
        <v>-2.9486305479479925E-2</v>
      </c>
      <c r="R54" s="7">
        <f t="shared" si="21"/>
        <v>-2.031186483945488E-2</v>
      </c>
      <c r="S54" s="7">
        <f t="shared" si="21"/>
        <v>-1.7508489260266526E-2</v>
      </c>
      <c r="T54" s="7">
        <f t="shared" si="21"/>
        <v>-2.3586315352954912E-2</v>
      </c>
      <c r="U54" s="7">
        <f t="shared" si="21"/>
        <v>-2.2723243733039061E-2</v>
      </c>
    </row>
    <row r="56" spans="1:21" x14ac:dyDescent="0.2">
      <c r="A56" s="3" t="s">
        <v>229</v>
      </c>
      <c r="B56" s="53" t="s">
        <v>233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70"/>
      <c r="P56" s="68"/>
      <c r="Q56" s="68"/>
      <c r="R56" s="68"/>
      <c r="S56" s="68"/>
      <c r="T56" s="68"/>
      <c r="U56" s="68"/>
    </row>
    <row r="58" spans="1:21" x14ac:dyDescent="0.2">
      <c r="B58" t="s">
        <v>245</v>
      </c>
      <c r="F58" s="87">
        <f>F32</f>
        <v>19148.7</v>
      </c>
      <c r="G58" s="87">
        <f t="shared" ref="G58:O58" si="22">G32</f>
        <v>21311</v>
      </c>
      <c r="H58" s="87">
        <f t="shared" si="22"/>
        <v>22383.8</v>
      </c>
      <c r="I58" s="87">
        <f t="shared" si="22"/>
        <v>24719.9</v>
      </c>
      <c r="J58" s="87">
        <f t="shared" si="22"/>
        <v>26501.599999999999</v>
      </c>
      <c r="K58" s="87">
        <f t="shared" si="22"/>
        <v>23512.5</v>
      </c>
      <c r="L58" s="87">
        <f t="shared" si="22"/>
        <v>29058.799999999999</v>
      </c>
      <c r="M58" s="87">
        <f t="shared" si="22"/>
        <v>32228.3</v>
      </c>
      <c r="N58" s="87">
        <f t="shared" si="22"/>
        <v>35952</v>
      </c>
      <c r="O58" s="88">
        <f t="shared" si="22"/>
        <v>36176.199999999997</v>
      </c>
      <c r="P58" s="51">
        <f>O58*(1+P59)</f>
        <v>37466.44</v>
      </c>
      <c r="Q58" s="51">
        <f t="shared" ref="Q58:U58" si="23">P58*(1+Q59)</f>
        <v>39126.094235659613</v>
      </c>
      <c r="R58" s="51">
        <f t="shared" si="23"/>
        <v>41196.989142014994</v>
      </c>
      <c r="S58" s="51">
        <f t="shared" si="23"/>
        <v>43733.091970944835</v>
      </c>
      <c r="T58" s="51">
        <f t="shared" si="23"/>
        <v>46802.807104806423</v>
      </c>
      <c r="U58" s="51">
        <f t="shared" si="23"/>
        <v>50491.977350513444</v>
      </c>
    </row>
    <row r="59" spans="1:21" x14ac:dyDescent="0.2">
      <c r="B59" s="62" t="s">
        <v>246</v>
      </c>
      <c r="G59" s="54">
        <f>G58/F58-1</f>
        <v>0.11292150380965804</v>
      </c>
      <c r="H59" s="54">
        <f t="shared" ref="H59:O59" si="24">H58/G58-1</f>
        <v>5.0340199896766968E-2</v>
      </c>
      <c r="I59" s="54">
        <f t="shared" si="24"/>
        <v>0.10436565730573011</v>
      </c>
      <c r="J59" s="54">
        <f t="shared" si="24"/>
        <v>7.2075534286141885E-2</v>
      </c>
      <c r="K59" s="54">
        <f t="shared" si="24"/>
        <v>-0.11278941648806107</v>
      </c>
      <c r="L59" s="54">
        <f>L58/K58-1</f>
        <v>0.23588729399255715</v>
      </c>
      <c r="M59" s="54">
        <f t="shared" si="24"/>
        <v>0.10907195066554709</v>
      </c>
      <c r="N59" s="54">
        <f t="shared" si="24"/>
        <v>0.1155413099667062</v>
      </c>
      <c r="O59" s="57">
        <f t="shared" si="24"/>
        <v>6.2360925678681678E-3</v>
      </c>
      <c r="P59" s="54">
        <f t="shared" ref="P59:U59" si="25">CHOOSE(scenario,P60,P61,P62)</f>
        <v>3.5665437497581401E-2</v>
      </c>
      <c r="Q59" s="54">
        <f t="shared" si="25"/>
        <v>4.429708922597423E-2</v>
      </c>
      <c r="R59" s="54">
        <f t="shared" si="25"/>
        <v>5.292874095436706E-2</v>
      </c>
      <c r="S59" s="54">
        <f t="shared" si="25"/>
        <v>6.1560392682759889E-2</v>
      </c>
      <c r="T59" s="54">
        <f t="shared" si="25"/>
        <v>7.0192044411152718E-2</v>
      </c>
      <c r="U59" s="54">
        <f t="shared" si="25"/>
        <v>7.882369613954554E-2</v>
      </c>
    </row>
    <row r="60" spans="1:21" x14ac:dyDescent="0.2">
      <c r="B60" t="s">
        <v>242</v>
      </c>
      <c r="P60" s="65">
        <f>P61*H20</f>
        <v>3.5665437497581401E-2</v>
      </c>
      <c r="Q60" s="65">
        <f>P60+($U$60-$P$60)/($U$1-$P$1)</f>
        <v>4.429708922597423E-2</v>
      </c>
      <c r="R60" s="65">
        <f>Q60+($U$60-$P$60)/($U$1-$P$1)</f>
        <v>5.292874095436706E-2</v>
      </c>
      <c r="S60" s="65">
        <f>R60+($U$60-$P$60)/($U$1-$P$1)</f>
        <v>6.1560392682759889E-2</v>
      </c>
      <c r="T60" s="65">
        <f>S60+($U$60-$P$60)/($U$1-$P$1)</f>
        <v>7.0192044411152718E-2</v>
      </c>
      <c r="U60" s="65">
        <f>U61*H21</f>
        <v>7.882369613954554E-2</v>
      </c>
    </row>
    <row r="61" spans="1:21" x14ac:dyDescent="0.2">
      <c r="B61" t="s">
        <v>243</v>
      </c>
      <c r="G61" s="54"/>
      <c r="H61" s="54"/>
      <c r="I61" s="54"/>
      <c r="J61" s="54"/>
      <c r="K61" s="54"/>
      <c r="L61" s="54"/>
      <c r="M61" s="54"/>
      <c r="N61" s="54"/>
      <c r="O61" s="57"/>
      <c r="P61" s="65">
        <f>P33</f>
        <v>3.9628263886201553E-2</v>
      </c>
      <c r="Q61" s="65">
        <f t="shared" ref="Q61:U61" si="26">Q33</f>
        <v>6.6514578647054678E-2</v>
      </c>
      <c r="R61" s="65">
        <f t="shared" si="26"/>
        <v>8.5210189621903076E-2</v>
      </c>
      <c r="S61" s="65">
        <f t="shared" si="26"/>
        <v>7.0465180924113024E-2</v>
      </c>
      <c r="T61" s="65">
        <f t="shared" si="26"/>
        <v>9.0313456346600374E-2</v>
      </c>
      <c r="U61" s="65">
        <f t="shared" si="26"/>
        <v>8.2972311725837411E-2</v>
      </c>
    </row>
    <row r="62" spans="1:21" x14ac:dyDescent="0.2">
      <c r="B62" t="s">
        <v>244</v>
      </c>
      <c r="G62" s="54"/>
      <c r="H62" s="54"/>
      <c r="I62" s="54"/>
      <c r="J62" s="54"/>
      <c r="K62" s="54"/>
      <c r="L62" s="54"/>
      <c r="M62" s="54"/>
      <c r="N62" s="54"/>
      <c r="O62" s="57"/>
      <c r="P62" s="65">
        <f>P61*P20</f>
        <v>4.3591090274821713E-2</v>
      </c>
      <c r="Q62" s="65">
        <f>P62+($U$62-$P$62)/($U$1-$P$1)</f>
        <v>5.2297057682283224E-2</v>
      </c>
      <c r="R62" s="65">
        <f>Q62+($U$62-$P$62)/($U$1-$P$1)</f>
        <v>6.1003025089744742E-2</v>
      </c>
      <c r="S62" s="65">
        <f>R62+($U$62-$P$62)/($U$1-$P$1)</f>
        <v>6.970899249720626E-2</v>
      </c>
      <c r="T62" s="65">
        <f>S62+($U$62-$P$62)/($U$1-$P$1)</f>
        <v>7.8414959904667778E-2</v>
      </c>
      <c r="U62" s="65">
        <f>U61*P21</f>
        <v>8.7120927312129282E-2</v>
      </c>
    </row>
    <row r="64" spans="1:21" x14ac:dyDescent="0.2">
      <c r="B64" t="s">
        <v>137</v>
      </c>
      <c r="F64" s="89">
        <f>F35</f>
        <v>4300.6000000000004</v>
      </c>
      <c r="G64" s="89">
        <f t="shared" ref="G64:O64" si="27">G35</f>
        <v>4939.5</v>
      </c>
      <c r="H64" s="89">
        <f t="shared" si="27"/>
        <v>5018.3</v>
      </c>
      <c r="I64" s="89">
        <f t="shared" si="27"/>
        <v>5165.6000000000004</v>
      </c>
      <c r="J64" s="89">
        <f t="shared" si="27"/>
        <v>5353.9</v>
      </c>
      <c r="K64" s="89">
        <f t="shared" si="27"/>
        <v>4217.3999999999996</v>
      </c>
      <c r="L64" s="89">
        <f t="shared" si="27"/>
        <v>7437.2</v>
      </c>
      <c r="M64" s="89">
        <f t="shared" si="27"/>
        <v>7304.4</v>
      </c>
      <c r="N64" s="89">
        <f t="shared" si="27"/>
        <v>6824.7</v>
      </c>
      <c r="O64" s="90">
        <f t="shared" si="27"/>
        <v>7935.1</v>
      </c>
      <c r="P64" s="46">
        <f>P58*P65</f>
        <v>6743.9592000000002</v>
      </c>
      <c r="Q64" s="46">
        <f t="shared" ref="Q64:U64" si="28">Q58*Q65</f>
        <v>7199.2013393613688</v>
      </c>
      <c r="R64" s="46">
        <f t="shared" si="28"/>
        <v>7745.0339586988193</v>
      </c>
      <c r="S64" s="46">
        <f t="shared" si="28"/>
        <v>8396.7536584214085</v>
      </c>
      <c r="T64" s="46">
        <f t="shared" si="28"/>
        <v>9173.3501925420587</v>
      </c>
      <c r="U64" s="46">
        <f t="shared" si="28"/>
        <v>10098.395470102689</v>
      </c>
    </row>
    <row r="65" spans="2:21" x14ac:dyDescent="0.2">
      <c r="B65" s="62" t="s">
        <v>247</v>
      </c>
      <c r="F65" s="54">
        <f>F64/F$58</f>
        <v>0.22458965882801443</v>
      </c>
      <c r="G65" s="54">
        <f t="shared" ref="G65:O65" si="29">G64/G$58</f>
        <v>0.23178170897658487</v>
      </c>
      <c r="H65" s="54">
        <f t="shared" si="29"/>
        <v>0.22419338986231116</v>
      </c>
      <c r="I65" s="54">
        <f t="shared" si="29"/>
        <v>0.20896524662316596</v>
      </c>
      <c r="J65" s="54">
        <f t="shared" si="29"/>
        <v>0.20202176472363934</v>
      </c>
      <c r="K65" s="54">
        <f t="shared" si="29"/>
        <v>0.17936842105263157</v>
      </c>
      <c r="L65" s="54">
        <f t="shared" si="29"/>
        <v>0.25593623962448553</v>
      </c>
      <c r="M65" s="54">
        <f t="shared" si="29"/>
        <v>0.22664552582668027</v>
      </c>
      <c r="N65" s="54">
        <f t="shared" si="29"/>
        <v>0.18982810413885179</v>
      </c>
      <c r="O65" s="57">
        <f t="shared" si="29"/>
        <v>0.21934586827803917</v>
      </c>
      <c r="P65" s="7">
        <f t="shared" ref="P65:U65" si="30">CHOOSE(scenario,P66,P67,P68)</f>
        <v>0.18</v>
      </c>
      <c r="Q65" s="7">
        <f t="shared" si="30"/>
        <v>0.184</v>
      </c>
      <c r="R65" s="7">
        <f t="shared" si="30"/>
        <v>0.188</v>
      </c>
      <c r="S65" s="7">
        <f t="shared" si="30"/>
        <v>0.192</v>
      </c>
      <c r="T65" s="7">
        <f t="shared" si="30"/>
        <v>0.19600000000000001</v>
      </c>
      <c r="U65" s="7">
        <f t="shared" si="30"/>
        <v>0.2</v>
      </c>
    </row>
    <row r="66" spans="2:21" x14ac:dyDescent="0.2">
      <c r="B66" t="s">
        <v>242</v>
      </c>
      <c r="P66" s="65">
        <f>H22</f>
        <v>0.18</v>
      </c>
      <c r="Q66" s="65">
        <f>P66+($U$66-$P$66)/($U$1-$P$1)</f>
        <v>0.184</v>
      </c>
      <c r="R66" s="65">
        <f>Q66+($U$66-$P$66)/($U$1-$P$1)</f>
        <v>0.188</v>
      </c>
      <c r="S66" s="65">
        <f>R66+($U$66-$P$66)/($U$1-$P$1)</f>
        <v>0.192</v>
      </c>
      <c r="T66" s="65">
        <f>S66+($U$66-$P$66)/($U$1-$P$1)</f>
        <v>0.19600000000000001</v>
      </c>
      <c r="U66" s="65">
        <f>H23</f>
        <v>0.2</v>
      </c>
    </row>
    <row r="67" spans="2:21" x14ac:dyDescent="0.2">
      <c r="B67" t="s">
        <v>243</v>
      </c>
      <c r="G67" s="54"/>
      <c r="H67" s="54"/>
      <c r="I67" s="54"/>
      <c r="J67" s="54"/>
      <c r="K67" s="54"/>
      <c r="L67" s="54"/>
      <c r="M67" s="54"/>
      <c r="N67" s="54"/>
      <c r="O67" s="57"/>
      <c r="P67" s="65">
        <f>P36</f>
        <v>0.1860802237714638</v>
      </c>
      <c r="Q67" s="65">
        <f t="shared" ref="Q67:U67" si="31">Q36</f>
        <v>0.19454843261516674</v>
      </c>
      <c r="R67" s="65">
        <f t="shared" si="31"/>
        <v>0.20360286060193938</v>
      </c>
      <c r="S67" s="65">
        <f t="shared" si="31"/>
        <v>0.21053682028302492</v>
      </c>
      <c r="T67" s="65">
        <f t="shared" si="31"/>
        <v>0.21544969087627372</v>
      </c>
      <c r="U67" s="65">
        <f t="shared" si="31"/>
        <v>0.22167999810978856</v>
      </c>
    </row>
    <row r="68" spans="2:21" x14ac:dyDescent="0.2">
      <c r="B68" t="s">
        <v>244</v>
      </c>
      <c r="G68" s="54"/>
      <c r="H68" s="54"/>
      <c r="I68" s="54"/>
      <c r="J68" s="54"/>
      <c r="K68" s="54"/>
      <c r="L68" s="54"/>
      <c r="M68" s="54"/>
      <c r="N68" s="54"/>
      <c r="O68" s="57"/>
      <c r="P68" s="65">
        <f>P22</f>
        <v>0.22</v>
      </c>
      <c r="Q68" s="65">
        <f>P68+($U$68-$P$68)/($U$1-$P$1)</f>
        <v>0.22800000000000001</v>
      </c>
      <c r="R68" s="65">
        <f>Q68+($U$68-$P$68)/($U$1-$P$1)</f>
        <v>0.23600000000000002</v>
      </c>
      <c r="S68" s="65">
        <f>R68+($U$68-$P$68)/($U$1-$P$1)</f>
        <v>0.24400000000000002</v>
      </c>
      <c r="T68" s="65">
        <f>S68+($U$68-$P$68)/($U$1-$P$1)</f>
        <v>0.252</v>
      </c>
      <c r="U68" s="65">
        <f>P23</f>
        <v>0.26</v>
      </c>
    </row>
    <row r="69" spans="2:21" x14ac:dyDescent="0.2">
      <c r="F69" s="46"/>
      <c r="G69" s="46"/>
      <c r="H69" s="46"/>
      <c r="I69" s="46"/>
      <c r="J69" s="46"/>
      <c r="K69" s="46"/>
      <c r="L69" s="46"/>
      <c r="M69" s="46"/>
      <c r="N69" s="46"/>
      <c r="O69" s="71"/>
    </row>
    <row r="70" spans="2:21" x14ac:dyDescent="0.2">
      <c r="B70" t="s">
        <v>138</v>
      </c>
      <c r="F70" s="87">
        <f>F38</f>
        <v>3366.8</v>
      </c>
      <c r="G70" s="87">
        <f t="shared" ref="G70:O70" si="32">G38</f>
        <v>3909.4</v>
      </c>
      <c r="H70" s="87">
        <f t="shared" si="32"/>
        <v>3951.2</v>
      </c>
      <c r="I70" s="87">
        <f>I38</f>
        <v>3859.7</v>
      </c>
      <c r="J70" s="87">
        <f>J38</f>
        <v>3904.6</v>
      </c>
      <c r="K70" s="87">
        <f t="shared" si="32"/>
        <v>1516.6</v>
      </c>
      <c r="L70" s="87">
        <f t="shared" si="32"/>
        <v>4664.5</v>
      </c>
      <c r="M70" s="87">
        <f t="shared" si="32"/>
        <v>4277.3</v>
      </c>
      <c r="N70" s="87">
        <f t="shared" si="32"/>
        <v>5374.4</v>
      </c>
      <c r="O70" s="88">
        <f t="shared" si="32"/>
        <v>5107.6000000000004</v>
      </c>
      <c r="P70" s="51">
        <f>P58*P71</f>
        <v>4870.6372000000001</v>
      </c>
      <c r="Q70" s="51">
        <f t="shared" ref="Q70:U70" si="33">Q58*Q71</f>
        <v>5086.3922506357503</v>
      </c>
      <c r="R70" s="51">
        <f t="shared" si="33"/>
        <v>5355.6085884619497</v>
      </c>
      <c r="S70" s="51">
        <f t="shared" si="33"/>
        <v>5685.3019562228292</v>
      </c>
      <c r="T70" s="51">
        <f t="shared" si="33"/>
        <v>6084.3649236248348</v>
      </c>
      <c r="U70" s="51">
        <f t="shared" si="33"/>
        <v>6563.9570555667478</v>
      </c>
    </row>
    <row r="71" spans="2:21" x14ac:dyDescent="0.2">
      <c r="B71" s="62" t="s">
        <v>247</v>
      </c>
      <c r="F71" s="54">
        <f>F70/F$58</f>
        <v>0.17582394627311515</v>
      </c>
      <c r="G71" s="54">
        <f t="shared" ref="G71" si="34">G70/G$58</f>
        <v>0.18344516916146592</v>
      </c>
      <c r="H71" s="54">
        <f t="shared" ref="H71" si="35">H70/H$58</f>
        <v>0.17652051930413959</v>
      </c>
      <c r="I71" s="54">
        <f t="shared" ref="I71" si="36">I70/I$58</f>
        <v>0.15613736301522255</v>
      </c>
      <c r="J71" s="54">
        <f t="shared" ref="J71" si="37">J70/J$58</f>
        <v>0.14733450055845684</v>
      </c>
      <c r="K71" s="54">
        <f t="shared" ref="K71" si="38">K70/K$58</f>
        <v>6.4501860712387019E-2</v>
      </c>
      <c r="L71" s="54">
        <f>L70/L$58</f>
        <v>0.16051936074442166</v>
      </c>
      <c r="M71" s="54">
        <f t="shared" ref="M71" si="39">M70/M$58</f>
        <v>0.13271875959948246</v>
      </c>
      <c r="N71" s="54">
        <f t="shared" ref="N71" si="40">N70/N$58</f>
        <v>0.14948820649755229</v>
      </c>
      <c r="O71" s="57">
        <f t="shared" ref="O71" si="41">O70/O$58</f>
        <v>0.14118674708786441</v>
      </c>
      <c r="P71" s="54">
        <f t="shared" ref="P71:U71" si="42">CHOOSE(scenario,P72,P73,P74)</f>
        <v>0.13</v>
      </c>
      <c r="Q71" s="54">
        <f t="shared" si="42"/>
        <v>0.13</v>
      </c>
      <c r="R71" s="54">
        <f t="shared" si="42"/>
        <v>0.13</v>
      </c>
      <c r="S71" s="54">
        <f t="shared" si="42"/>
        <v>0.13</v>
      </c>
      <c r="T71" s="54">
        <f t="shared" si="42"/>
        <v>0.13</v>
      </c>
      <c r="U71" s="54">
        <f t="shared" si="42"/>
        <v>0.13</v>
      </c>
    </row>
    <row r="72" spans="2:21" x14ac:dyDescent="0.2">
      <c r="B72" t="s">
        <v>242</v>
      </c>
      <c r="P72" s="65">
        <f>H24</f>
        <v>0.13</v>
      </c>
      <c r="Q72" s="65">
        <f>P72</f>
        <v>0.13</v>
      </c>
      <c r="R72" s="65">
        <f t="shared" ref="R72:T72" si="43">Q72</f>
        <v>0.13</v>
      </c>
      <c r="S72" s="65">
        <f t="shared" si="43"/>
        <v>0.13</v>
      </c>
      <c r="T72" s="65">
        <f t="shared" si="43"/>
        <v>0.13</v>
      </c>
      <c r="U72" s="65">
        <f>H25</f>
        <v>0.13</v>
      </c>
    </row>
    <row r="73" spans="2:21" x14ac:dyDescent="0.2">
      <c r="B73" t="s">
        <v>243</v>
      </c>
      <c r="G73" s="54"/>
      <c r="H73" s="54"/>
      <c r="I73" s="54"/>
      <c r="J73" s="54"/>
      <c r="K73" s="54"/>
      <c r="L73" s="54"/>
      <c r="M73" s="54"/>
      <c r="N73" s="54"/>
      <c r="O73" s="57"/>
      <c r="P73" s="65">
        <f>P39</f>
        <v>0.14259022914240435</v>
      </c>
      <c r="Q73" s="65">
        <f t="shared" ref="Q73:U73" si="44">Q39</f>
        <v>0.15489411987614493</v>
      </c>
      <c r="R73" s="65">
        <f t="shared" si="44"/>
        <v>0.16365620398214537</v>
      </c>
      <c r="S73" s="65">
        <f t="shared" si="44"/>
        <v>0.18204010593047565</v>
      </c>
      <c r="T73" s="65">
        <f t="shared" si="44"/>
        <v>0.17243415497324077</v>
      </c>
      <c r="U73" s="65">
        <f t="shared" si="44"/>
        <v>0.17872312582810343</v>
      </c>
    </row>
    <row r="74" spans="2:21" x14ac:dyDescent="0.2">
      <c r="B74" t="s">
        <v>244</v>
      </c>
      <c r="G74" s="54"/>
      <c r="H74" s="54"/>
      <c r="I74" s="54"/>
      <c r="J74" s="54"/>
      <c r="K74" s="54"/>
      <c r="L74" s="54"/>
      <c r="M74" s="54"/>
      <c r="N74" s="54"/>
      <c r="O74" s="57"/>
      <c r="P74" s="65">
        <f>P24</f>
        <v>0.16</v>
      </c>
      <c r="Q74" s="65">
        <f>P74+($U$74-$P$74)/($U$1-$P$1)</f>
        <v>0.16600000000000001</v>
      </c>
      <c r="R74" s="65">
        <f>Q74+($U$68-$P$68)/($U$1-$P$1)</f>
        <v>0.17400000000000002</v>
      </c>
      <c r="S74" s="65">
        <f>R74+($U$68-$P$68)/($U$1-$P$1)</f>
        <v>0.18200000000000002</v>
      </c>
      <c r="T74" s="65">
        <f>S74+($U$68-$P$68)/($U$1-$P$1)</f>
        <v>0.19000000000000003</v>
      </c>
      <c r="U74" s="65">
        <f>P25</f>
        <v>0.19</v>
      </c>
    </row>
    <row r="75" spans="2:21" x14ac:dyDescent="0.2">
      <c r="B75" s="62"/>
      <c r="F75" s="46"/>
      <c r="G75" s="46"/>
      <c r="H75" s="46"/>
      <c r="I75" s="46"/>
      <c r="J75" s="46"/>
      <c r="K75" s="46"/>
      <c r="L75" s="46"/>
      <c r="M75" s="46"/>
      <c r="N75" s="46"/>
      <c r="O75" s="71"/>
    </row>
    <row r="76" spans="2:21" x14ac:dyDescent="0.2">
      <c r="B76" t="s">
        <v>248</v>
      </c>
      <c r="F76" s="89">
        <f t="shared" ref="F76:N76" si="45">F41</f>
        <v>1143.7</v>
      </c>
      <c r="G76" s="89">
        <f t="shared" si="45"/>
        <v>1379.7</v>
      </c>
      <c r="H76" s="89">
        <f t="shared" si="45"/>
        <v>1432.6</v>
      </c>
      <c r="I76" s="89">
        <f t="shared" si="45"/>
        <v>1262</v>
      </c>
      <c r="J76" s="89">
        <f t="shared" si="45"/>
        <v>871.6</v>
      </c>
      <c r="K76" s="89">
        <f t="shared" si="45"/>
        <v>239.7</v>
      </c>
      <c r="L76" s="89">
        <f t="shared" si="45"/>
        <v>1156.5999999999999</v>
      </c>
      <c r="M76" s="89">
        <f t="shared" si="45"/>
        <v>948.5</v>
      </c>
      <c r="N76" s="89">
        <f t="shared" si="45"/>
        <v>1277.2</v>
      </c>
      <c r="O76" s="90">
        <f>O41</f>
        <v>1207.3</v>
      </c>
      <c r="P76" s="46">
        <f>P70*P77</f>
        <v>1066.6595472073307</v>
      </c>
      <c r="Q76" s="46">
        <f>Q70*Q77</f>
        <v>1115.2777597631407</v>
      </c>
      <c r="R76" s="46">
        <f>R70*R77</f>
        <v>1202.1446177033847</v>
      </c>
      <c r="S76" s="46">
        <f>S70*S77</f>
        <v>1296.2832965042837</v>
      </c>
      <c r="T76" s="46">
        <f>T70*T77</f>
        <v>1403.2133886983183</v>
      </c>
      <c r="U76" s="46">
        <f t="shared" ref="U76" si="46">U70*U77</f>
        <v>1524.0737434936032</v>
      </c>
    </row>
    <row r="77" spans="2:21" x14ac:dyDescent="0.2">
      <c r="B77" s="62" t="s">
        <v>256</v>
      </c>
      <c r="F77" s="54">
        <f t="shared" ref="F77:K77" si="47">F76/F70</f>
        <v>0.33969941784483781</v>
      </c>
      <c r="G77" s="54">
        <f t="shared" si="47"/>
        <v>0.35291860643577022</v>
      </c>
      <c r="H77" s="54">
        <f t="shared" si="47"/>
        <v>0.36257339542417494</v>
      </c>
      <c r="I77" s="54">
        <f t="shared" si="47"/>
        <v>0.3269684172345001</v>
      </c>
      <c r="J77" s="54">
        <f t="shared" si="47"/>
        <v>0.2232238897710393</v>
      </c>
      <c r="K77" s="54">
        <f t="shared" si="47"/>
        <v>0.15805090333641039</v>
      </c>
      <c r="L77" s="54">
        <f t="shared" ref="L77:N77" si="48">L76/L70</f>
        <v>0.2479579804909422</v>
      </c>
      <c r="M77" s="54">
        <f t="shared" si="48"/>
        <v>0.22175203983821568</v>
      </c>
      <c r="N77" s="54">
        <f t="shared" si="48"/>
        <v>0.23764513247990476</v>
      </c>
      <c r="O77" s="57">
        <f>O76/O70</f>
        <v>0.23637324770929594</v>
      </c>
      <c r="P77" s="91">
        <f>P42</f>
        <v>0.21899794696417352</v>
      </c>
      <c r="Q77" s="91">
        <f>Q42</f>
        <v>0.21926695874148158</v>
      </c>
      <c r="R77" s="91">
        <f>R42</f>
        <v>0.22446461458988409</v>
      </c>
      <c r="S77" s="91">
        <f t="shared" ref="S77:U77" si="49">S42</f>
        <v>0.22800605957005343</v>
      </c>
      <c r="T77" s="91">
        <f t="shared" si="49"/>
        <v>0.23062610581587811</v>
      </c>
      <c r="U77" s="91">
        <f t="shared" si="49"/>
        <v>0.2321882563508044</v>
      </c>
    </row>
    <row r="79" spans="2:21" x14ac:dyDescent="0.2">
      <c r="B79" s="127" t="s">
        <v>336</v>
      </c>
      <c r="F79" s="63">
        <f>IS!B45</f>
        <v>2757.4</v>
      </c>
      <c r="G79" s="63">
        <f>IS!C45</f>
        <v>2817.7</v>
      </c>
      <c r="H79" s="63">
        <f>IS!D45</f>
        <v>2884.7</v>
      </c>
      <c r="I79" s="63">
        <f>IS!E45</f>
        <v>4518.3</v>
      </c>
      <c r="J79" s="63">
        <f>IS!F45</f>
        <v>3599.2</v>
      </c>
      <c r="K79" s="63">
        <f>IS!G45</f>
        <v>928.3</v>
      </c>
      <c r="L79" s="63">
        <f>IS!H45</f>
        <v>4199.3</v>
      </c>
      <c r="M79" s="63">
        <f>IS!I45</f>
        <v>3281.6</v>
      </c>
      <c r="N79" s="63">
        <f>IS!J45</f>
        <v>4124.5</v>
      </c>
      <c r="O79" s="64">
        <f>IS!K45</f>
        <v>3763.7</v>
      </c>
      <c r="P79" s="63">
        <f>'IS Estimates'!G33</f>
        <v>3678.8</v>
      </c>
      <c r="Q79" s="63">
        <f>'IS Estimates'!H33</f>
        <v>4298.32</v>
      </c>
      <c r="R79" s="63">
        <f>'IS Estimates'!I33</f>
        <v>4994.9799999999996</v>
      </c>
      <c r="S79" s="63">
        <f>'IS Estimates'!J33</f>
        <v>5873.9</v>
      </c>
      <c r="T79" s="63">
        <f>'IS Estimates'!K33</f>
        <v>6226.1</v>
      </c>
      <c r="U79" s="63">
        <f>'IS Estimates'!L33</f>
        <v>7036.1</v>
      </c>
    </row>
    <row r="80" spans="2:21" x14ac:dyDescent="0.2">
      <c r="B80" s="62" t="s">
        <v>247</v>
      </c>
      <c r="F80" s="54">
        <f>F79/F$58</f>
        <v>0.14399933154731132</v>
      </c>
      <c r="G80" s="54">
        <f t="shared" ref="G80:U80" si="50">G79/G$58</f>
        <v>0.13221810332692036</v>
      </c>
      <c r="H80" s="54">
        <f t="shared" si="50"/>
        <v>0.12887445384608512</v>
      </c>
      <c r="I80" s="54">
        <f t="shared" si="50"/>
        <v>0.18277986561434309</v>
      </c>
      <c r="J80" s="54">
        <f t="shared" si="50"/>
        <v>0.1358106680351375</v>
      </c>
      <c r="K80" s="54">
        <f t="shared" si="50"/>
        <v>3.9481127060074429E-2</v>
      </c>
      <c r="L80" s="54">
        <f t="shared" si="50"/>
        <v>0.14451044089914244</v>
      </c>
      <c r="M80" s="54">
        <f t="shared" si="50"/>
        <v>0.10182355259197662</v>
      </c>
      <c r="N80" s="54">
        <f t="shared" si="50"/>
        <v>0.11472240765465065</v>
      </c>
      <c r="O80" s="57">
        <f t="shared" si="50"/>
        <v>0.10403801394286852</v>
      </c>
      <c r="P80" s="54">
        <f t="shared" si="50"/>
        <v>9.8189206126869807E-2</v>
      </c>
      <c r="Q80" s="54">
        <f t="shared" si="50"/>
        <v>0.10985814157965455</v>
      </c>
      <c r="R80" s="54">
        <f t="shared" si="50"/>
        <v>0.12124623920406453</v>
      </c>
      <c r="S80" s="54">
        <f t="shared" si="50"/>
        <v>0.13431247906968186</v>
      </c>
      <c r="T80" s="54">
        <f t="shared" si="50"/>
        <v>0.13302834563016222</v>
      </c>
      <c r="U80" s="54">
        <f t="shared" si="50"/>
        <v>0.13935085075309397</v>
      </c>
    </row>
    <row r="83" spans="2:21" x14ac:dyDescent="0.2">
      <c r="B83" s="92" t="s">
        <v>253</v>
      </c>
      <c r="C83" s="93"/>
      <c r="D83" s="93"/>
      <c r="E83" s="93"/>
      <c r="F83" s="94">
        <f>F70-F76</f>
        <v>2223.1000000000004</v>
      </c>
      <c r="G83" s="94">
        <f>G70-G76</f>
        <v>2529.6999999999998</v>
      </c>
      <c r="H83" s="94">
        <f>H70-H76</f>
        <v>2518.6</v>
      </c>
      <c r="I83" s="94">
        <f t="shared" ref="I83:U83" si="51">I70-I76</f>
        <v>2597.6999999999998</v>
      </c>
      <c r="J83" s="94">
        <f t="shared" si="51"/>
        <v>3033</v>
      </c>
      <c r="K83" s="94">
        <f t="shared" si="51"/>
        <v>1276.8999999999999</v>
      </c>
      <c r="L83" s="94">
        <f t="shared" si="51"/>
        <v>3507.9</v>
      </c>
      <c r="M83" s="94">
        <f t="shared" si="51"/>
        <v>3328.8</v>
      </c>
      <c r="N83" s="94">
        <f t="shared" si="51"/>
        <v>4097.2</v>
      </c>
      <c r="O83" s="95">
        <f t="shared" si="51"/>
        <v>3900.3</v>
      </c>
      <c r="P83" s="94">
        <f>P70-P76</f>
        <v>3803.9776527926697</v>
      </c>
      <c r="Q83" s="94">
        <f>Q70-Q76</f>
        <v>3971.1144908726096</v>
      </c>
      <c r="R83" s="94">
        <f t="shared" si="51"/>
        <v>4153.4639707585648</v>
      </c>
      <c r="S83" s="94">
        <f t="shared" si="51"/>
        <v>4389.0186597185457</v>
      </c>
      <c r="T83" s="94">
        <f t="shared" si="51"/>
        <v>4681.1515349265164</v>
      </c>
      <c r="U83" s="95">
        <f t="shared" si="51"/>
        <v>5039.8833120731451</v>
      </c>
    </row>
    <row r="84" spans="2:21" x14ac:dyDescent="0.2">
      <c r="B84" s="96" t="s">
        <v>247</v>
      </c>
      <c r="C84" s="1"/>
      <c r="D84" s="1"/>
      <c r="E84" s="1"/>
      <c r="F84" s="81">
        <f t="shared" ref="F84:P84" si="52">F83/F58</f>
        <v>0.1160966540809559</v>
      </c>
      <c r="G84" s="81">
        <f t="shared" si="52"/>
        <v>0.11870395570362723</v>
      </c>
      <c r="H84" s="81">
        <f t="shared" si="52"/>
        <v>0.11251887525799908</v>
      </c>
      <c r="I84" s="81">
        <f t="shared" si="52"/>
        <v>0.10508537655896664</v>
      </c>
      <c r="J84" s="81">
        <f t="shared" si="52"/>
        <v>0.11444592024632476</v>
      </c>
      <c r="K84" s="81">
        <f t="shared" si="52"/>
        <v>5.4307283359914936E-2</v>
      </c>
      <c r="L84" s="81">
        <f t="shared" si="52"/>
        <v>0.12071730422453784</v>
      </c>
      <c r="M84" s="81">
        <f t="shared" si="52"/>
        <v>0.10328810393349945</v>
      </c>
      <c r="N84" s="81">
        <f t="shared" si="52"/>
        <v>0.11396306186025812</v>
      </c>
      <c r="O84" s="80">
        <f t="shared" si="52"/>
        <v>0.10781397714519492</v>
      </c>
      <c r="P84" s="81">
        <f t="shared" si="52"/>
        <v>0.10153026689465744</v>
      </c>
      <c r="Q84" s="81">
        <f t="shared" ref="Q84:U84" si="53">Q83/Q58</f>
        <v>0.10149529536360741</v>
      </c>
      <c r="R84" s="81">
        <f t="shared" si="53"/>
        <v>0.10081960010331507</v>
      </c>
      <c r="S84" s="81">
        <f t="shared" si="53"/>
        <v>0.10035921225589307</v>
      </c>
      <c r="T84" s="81">
        <f t="shared" si="53"/>
        <v>0.10001860624393584</v>
      </c>
      <c r="U84" s="80">
        <f t="shared" si="53"/>
        <v>9.9815526674395444E-2</v>
      </c>
    </row>
    <row r="86" spans="2:21" x14ac:dyDescent="0.2">
      <c r="B86" t="s">
        <v>276</v>
      </c>
      <c r="F86" s="89">
        <f>F46</f>
        <v>933.8</v>
      </c>
      <c r="G86" s="89">
        <f t="shared" ref="G86:O86" si="54">G46</f>
        <v>1030.0999999999999</v>
      </c>
      <c r="H86" s="89">
        <f t="shared" si="54"/>
        <v>1067.0999999999999</v>
      </c>
      <c r="I86" s="89">
        <f t="shared" si="54"/>
        <v>1305.9000000000001</v>
      </c>
      <c r="J86" s="89">
        <f t="shared" si="54"/>
        <v>1449.3</v>
      </c>
      <c r="K86" s="89">
        <f t="shared" si="54"/>
        <v>2700.8</v>
      </c>
      <c r="L86" s="89">
        <f t="shared" si="54"/>
        <v>2772.7</v>
      </c>
      <c r="M86" s="89">
        <f t="shared" si="54"/>
        <v>3027.1</v>
      </c>
      <c r="N86" s="89">
        <f t="shared" si="54"/>
        <v>1450.3</v>
      </c>
      <c r="O86" s="90">
        <f t="shared" si="54"/>
        <v>2827.5</v>
      </c>
      <c r="P86" s="97">
        <f>P64-P70</f>
        <v>1873.3220000000001</v>
      </c>
      <c r="Q86" s="97">
        <f t="shared" ref="Q86:U86" si="55">Q64-Q70</f>
        <v>2112.8090887256185</v>
      </c>
      <c r="R86" s="97">
        <f t="shared" si="55"/>
        <v>2389.4253702368696</v>
      </c>
      <c r="S86" s="97">
        <f t="shared" si="55"/>
        <v>2711.4517021985794</v>
      </c>
      <c r="T86" s="97">
        <f t="shared" si="55"/>
        <v>3088.9852689172239</v>
      </c>
      <c r="U86" s="97">
        <f t="shared" si="55"/>
        <v>3534.4384145359409</v>
      </c>
    </row>
    <row r="87" spans="2:21" x14ac:dyDescent="0.2">
      <c r="B87" s="62" t="s">
        <v>247</v>
      </c>
      <c r="F87" s="54">
        <f>F86/F58</f>
        <v>4.8765712554899282E-2</v>
      </c>
      <c r="G87" s="54">
        <f t="shared" ref="G87:O87" si="56">G86/G58</f>
        <v>4.8336539815118949E-2</v>
      </c>
      <c r="H87" s="54">
        <f t="shared" si="56"/>
        <v>4.7672870558171529E-2</v>
      </c>
      <c r="I87" s="54">
        <f t="shared" si="56"/>
        <v>5.2827883607943396E-2</v>
      </c>
      <c r="J87" s="54">
        <f t="shared" si="56"/>
        <v>5.4687264165182478E-2</v>
      </c>
      <c r="K87" s="54">
        <f t="shared" si="56"/>
        <v>0.11486656034024456</v>
      </c>
      <c r="L87" s="54">
        <f t="shared" si="56"/>
        <v>9.5416878880063866E-2</v>
      </c>
      <c r="M87" s="54">
        <f t="shared" si="56"/>
        <v>9.3926766227197839E-2</v>
      </c>
      <c r="N87" s="54">
        <f t="shared" si="56"/>
        <v>4.0339897641299506E-2</v>
      </c>
      <c r="O87" s="54">
        <f t="shared" si="56"/>
        <v>7.8159121190174763E-2</v>
      </c>
      <c r="P87" s="59">
        <f>P86/P58</f>
        <v>0.05</v>
      </c>
      <c r="Q87" s="54">
        <f>Q86/Q58</f>
        <v>5.3999999999999986E-2</v>
      </c>
      <c r="R87" s="54">
        <f t="shared" ref="R87" si="57">R86/R58</f>
        <v>5.7999999999999996E-2</v>
      </c>
      <c r="S87" s="54">
        <f t="shared" ref="S87" si="58">S86/S58</f>
        <v>6.1999999999999993E-2</v>
      </c>
      <c r="T87" s="54">
        <f t="shared" ref="T87" si="59">T86/T58</f>
        <v>6.6000000000000003E-2</v>
      </c>
      <c r="U87" s="54">
        <f t="shared" ref="U87" si="60">U86/U58</f>
        <v>6.9999999999999993E-2</v>
      </c>
    </row>
    <row r="89" spans="2:21" x14ac:dyDescent="0.2">
      <c r="B89" t="s">
        <v>277</v>
      </c>
      <c r="F89" s="87">
        <f>F50</f>
        <v>-1303.7</v>
      </c>
      <c r="G89" s="87">
        <f t="shared" ref="G89:O89" si="61">G50</f>
        <v>-1440.3</v>
      </c>
      <c r="H89" s="87">
        <f t="shared" si="61"/>
        <v>-1519.4</v>
      </c>
      <c r="I89" s="87">
        <f t="shared" si="61"/>
        <v>-1976.4</v>
      </c>
      <c r="J89" s="87">
        <f t="shared" si="61"/>
        <v>-1806.6</v>
      </c>
      <c r="K89" s="87">
        <f t="shared" si="61"/>
        <v>-1483.6</v>
      </c>
      <c r="L89" s="87">
        <f t="shared" si="61"/>
        <v>-1470</v>
      </c>
      <c r="M89" s="87">
        <f t="shared" si="61"/>
        <v>-1841.3</v>
      </c>
      <c r="N89" s="87">
        <f t="shared" si="61"/>
        <v>-2333.6</v>
      </c>
      <c r="O89" s="87">
        <f t="shared" si="61"/>
        <v>-2777.5</v>
      </c>
      <c r="P89" s="60">
        <f>P90*P58</f>
        <v>-2997.3152000000005</v>
      </c>
      <c r="Q89" s="51">
        <f t="shared" ref="Q89:U89" si="62">Q90*Q58</f>
        <v>-3130.0875388527693</v>
      </c>
      <c r="R89" s="51">
        <f t="shared" si="62"/>
        <v>-3295.7591313611997</v>
      </c>
      <c r="S89" s="51">
        <f t="shared" si="62"/>
        <v>-3498.647357675587</v>
      </c>
      <c r="T89" s="51">
        <f t="shared" si="62"/>
        <v>-3744.224568384514</v>
      </c>
      <c r="U89" s="51">
        <f t="shared" si="62"/>
        <v>-4039.3581880410757</v>
      </c>
    </row>
    <row r="90" spans="2:21" x14ac:dyDescent="0.2">
      <c r="B90" s="62" t="s">
        <v>247</v>
      </c>
      <c r="F90" s="54">
        <f>F89/F58</f>
        <v>-6.8082950800837649E-2</v>
      </c>
      <c r="G90" s="54">
        <f t="shared" ref="G90:O90" si="63">G89/G58</f>
        <v>-6.7584815353573274E-2</v>
      </c>
      <c r="H90" s="54">
        <f t="shared" si="63"/>
        <v>-6.7879448529740261E-2</v>
      </c>
      <c r="I90" s="54">
        <f t="shared" si="63"/>
        <v>-7.9951779740209297E-2</v>
      </c>
      <c r="J90" s="54">
        <f t="shared" si="63"/>
        <v>-6.8169469013191653E-2</v>
      </c>
      <c r="K90" s="54">
        <f t="shared" si="63"/>
        <v>-6.3098351940457195E-2</v>
      </c>
      <c r="L90" s="54">
        <f t="shared" si="63"/>
        <v>-5.0587085495615788E-2</v>
      </c>
      <c r="M90" s="54">
        <f t="shared" si="63"/>
        <v>-5.7133016634448607E-2</v>
      </c>
      <c r="N90" s="54">
        <f t="shared" si="63"/>
        <v>-6.490876724521584E-2</v>
      </c>
      <c r="O90" s="54">
        <f t="shared" si="63"/>
        <v>-7.6776997031197308E-2</v>
      </c>
      <c r="P90" s="59">
        <f t="shared" ref="P90:U90" si="64">CHOOSE(scenario,P91,P92,P93)</f>
        <v>-0.08</v>
      </c>
      <c r="Q90" s="54">
        <f t="shared" si="64"/>
        <v>-0.08</v>
      </c>
      <c r="R90" s="54">
        <f t="shared" si="64"/>
        <v>-0.08</v>
      </c>
      <c r="S90" s="54">
        <f t="shared" si="64"/>
        <v>-0.08</v>
      </c>
      <c r="T90" s="54">
        <f t="shared" si="64"/>
        <v>-0.08</v>
      </c>
      <c r="U90" s="54">
        <f t="shared" si="64"/>
        <v>-0.08</v>
      </c>
    </row>
    <row r="91" spans="2:21" x14ac:dyDescent="0.2">
      <c r="B91" t="s">
        <v>242</v>
      </c>
      <c r="P91" s="65">
        <f t="shared" ref="P91:U91" si="65">-$H$26</f>
        <v>-0.08</v>
      </c>
      <c r="Q91" s="65">
        <f t="shared" si="65"/>
        <v>-0.08</v>
      </c>
      <c r="R91" s="65">
        <f t="shared" si="65"/>
        <v>-0.08</v>
      </c>
      <c r="S91" s="65">
        <f t="shared" si="65"/>
        <v>-0.08</v>
      </c>
      <c r="T91" s="65">
        <f t="shared" si="65"/>
        <v>-0.08</v>
      </c>
      <c r="U91" s="65">
        <f t="shared" si="65"/>
        <v>-0.08</v>
      </c>
    </row>
    <row r="92" spans="2:21" x14ac:dyDescent="0.2">
      <c r="B92" t="s">
        <v>243</v>
      </c>
      <c r="P92" s="65">
        <f>P51</f>
        <v>-7.1991076793814376E-2</v>
      </c>
      <c r="Q92" s="65">
        <f t="shared" ref="Q92:U92" si="66">Q51</f>
        <v>-7.4248717322257504E-2</v>
      </c>
      <c r="R92" s="65">
        <f t="shared" si="66"/>
        <v>-7.7177441401538732E-2</v>
      </c>
      <c r="S92" s="65">
        <f t="shared" si="66"/>
        <v>-8.2259220629831362E-2</v>
      </c>
      <c r="T92" s="65">
        <f t="shared" si="66"/>
        <v>-7.7895126451209204E-2</v>
      </c>
      <c r="U92" s="65">
        <f t="shared" si="66"/>
        <v>-7.9110596160859761E-2</v>
      </c>
    </row>
    <row r="93" spans="2:21" x14ac:dyDescent="0.2">
      <c r="B93" t="s">
        <v>244</v>
      </c>
      <c r="P93" s="65">
        <f t="shared" ref="P93:U93" si="67">-$P$26</f>
        <v>-0.06</v>
      </c>
      <c r="Q93" s="65">
        <f t="shared" si="67"/>
        <v>-0.06</v>
      </c>
      <c r="R93" s="65">
        <f t="shared" si="67"/>
        <v>-0.06</v>
      </c>
      <c r="S93" s="65">
        <f t="shared" si="67"/>
        <v>-0.06</v>
      </c>
      <c r="T93" s="65">
        <f t="shared" si="67"/>
        <v>-0.06</v>
      </c>
      <c r="U93" s="65">
        <f t="shared" si="67"/>
        <v>-0.06</v>
      </c>
    </row>
    <row r="95" spans="2:21" x14ac:dyDescent="0.2">
      <c r="B95" t="s">
        <v>279</v>
      </c>
      <c r="F95" s="87">
        <f>F53</f>
        <v>278.8</v>
      </c>
      <c r="G95" s="87">
        <f t="shared" ref="G95:O95" si="68">G53</f>
        <v>353</v>
      </c>
      <c r="H95" s="87">
        <f t="shared" si="68"/>
        <v>89.7</v>
      </c>
      <c r="I95" s="87">
        <f t="shared" si="68"/>
        <v>6913.7</v>
      </c>
      <c r="J95" s="87">
        <f t="shared" si="68"/>
        <v>1648.7</v>
      </c>
      <c r="K95" s="87">
        <f t="shared" si="68"/>
        <v>-2676.4</v>
      </c>
      <c r="L95" s="87">
        <f t="shared" si="68"/>
        <v>-501.2</v>
      </c>
      <c r="M95" s="87">
        <f t="shared" si="68"/>
        <v>-2133</v>
      </c>
      <c r="N95" s="87">
        <f t="shared" si="68"/>
        <v>-1133.4000000000001</v>
      </c>
      <c r="O95" s="87">
        <f t="shared" si="68"/>
        <v>246.1</v>
      </c>
      <c r="P95" s="98">
        <f>P96*P58</f>
        <v>-1135.3158090095799</v>
      </c>
      <c r="Q95" s="87">
        <f t="shared" ref="Q95:U95" si="69">Q96*Q58</f>
        <v>-717.63463192927543</v>
      </c>
      <c r="R95" s="87">
        <f t="shared" si="69"/>
        <v>-574.57410313927392</v>
      </c>
      <c r="S95" s="87">
        <f t="shared" si="69"/>
        <v>-912.42952703458332</v>
      </c>
      <c r="T95" s="87">
        <f t="shared" si="69"/>
        <v>-829.22364962406903</v>
      </c>
      <c r="U95" s="87">
        <f t="shared" si="69"/>
        <v>-884.08051103401124</v>
      </c>
    </row>
    <row r="96" spans="2:21" x14ac:dyDescent="0.2">
      <c r="B96" s="62" t="s">
        <v>247</v>
      </c>
      <c r="F96" s="54">
        <f>F95/F58</f>
        <v>1.4559735125622105E-2</v>
      </c>
      <c r="G96" s="54">
        <f t="shared" ref="G96:O96" si="70">G95/G58</f>
        <v>1.6564215663272489E-2</v>
      </c>
      <c r="H96" s="54">
        <f t="shared" si="70"/>
        <v>4.0073624674988161E-3</v>
      </c>
      <c r="I96" s="54">
        <f t="shared" si="70"/>
        <v>0.27968155210983858</v>
      </c>
      <c r="J96" s="54">
        <f t="shared" si="70"/>
        <v>6.2211338183354975E-2</v>
      </c>
      <c r="K96" s="54">
        <f t="shared" si="70"/>
        <v>-0.11382881446039342</v>
      </c>
      <c r="L96" s="54">
        <f t="shared" si="70"/>
        <v>-1.7247787245171859E-2</v>
      </c>
      <c r="M96" s="54">
        <f t="shared" si="70"/>
        <v>-6.6184068039580116E-2</v>
      </c>
      <c r="N96" s="54">
        <f t="shared" si="70"/>
        <v>-3.1525367156208281E-2</v>
      </c>
      <c r="O96" s="54">
        <f t="shared" si="70"/>
        <v>6.8028151104870061E-3</v>
      </c>
      <c r="P96" s="86">
        <f>AVERAGE(M96:O96)</f>
        <v>-3.0302206695100461E-2</v>
      </c>
      <c r="Q96" s="7">
        <f t="shared" ref="Q96:U96" si="71">AVERAGE(N96:P96)</f>
        <v>-1.8341586246940579E-2</v>
      </c>
      <c r="R96" s="7">
        <f t="shared" si="71"/>
        <v>-1.3946992610518011E-2</v>
      </c>
      <c r="S96" s="7">
        <f t="shared" si="71"/>
        <v>-2.0863595184186349E-2</v>
      </c>
      <c r="T96" s="7">
        <f t="shared" si="71"/>
        <v>-1.7717391347214978E-2</v>
      </c>
      <c r="U96" s="7">
        <f t="shared" si="71"/>
        <v>-1.7509326380639779E-2</v>
      </c>
    </row>
    <row r="98" spans="2:21" x14ac:dyDescent="0.2">
      <c r="B98" s="99" t="s">
        <v>280</v>
      </c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1"/>
      <c r="P98" s="102">
        <f>P83+P86+P89+P95</f>
        <v>1544.6686437830895</v>
      </c>
      <c r="Q98" s="102">
        <f t="shared" ref="Q98:U98" si="72">Q83+Q86+Q89+Q95</f>
        <v>2236.2014088161832</v>
      </c>
      <c r="R98" s="102">
        <f t="shared" si="72"/>
        <v>2672.5561064949607</v>
      </c>
      <c r="S98" s="102">
        <f t="shared" si="72"/>
        <v>2689.3934772069547</v>
      </c>
      <c r="T98" s="102">
        <f t="shared" si="72"/>
        <v>3196.6885858351575</v>
      </c>
      <c r="U98" s="103">
        <f t="shared" si="72"/>
        <v>3650.8830275340001</v>
      </c>
    </row>
    <row r="100" spans="2:21" x14ac:dyDescent="0.2">
      <c r="B100" t="s">
        <v>282</v>
      </c>
      <c r="P100" s="72">
        <v>1</v>
      </c>
      <c r="Q100">
        <f>+P100+1</f>
        <v>2</v>
      </c>
      <c r="R100">
        <f t="shared" ref="R100:U100" si="73">+Q100+1</f>
        <v>3</v>
      </c>
      <c r="S100">
        <f t="shared" si="73"/>
        <v>4</v>
      </c>
      <c r="T100">
        <f t="shared" si="73"/>
        <v>5</v>
      </c>
      <c r="U100">
        <f t="shared" si="73"/>
        <v>6</v>
      </c>
    </row>
    <row r="101" spans="2:21" x14ac:dyDescent="0.2">
      <c r="B101" t="s">
        <v>281</v>
      </c>
      <c r="P101" s="106">
        <f>P100*C10</f>
        <v>0.90833333333333333</v>
      </c>
      <c r="Q101" s="106">
        <f>P101+1</f>
        <v>1.9083333333333332</v>
      </c>
      <c r="R101" s="106">
        <f t="shared" ref="R101:U101" si="74">Q101+1</f>
        <v>2.9083333333333332</v>
      </c>
      <c r="S101" s="106">
        <f t="shared" si="74"/>
        <v>3.9083333333333332</v>
      </c>
      <c r="T101" s="106">
        <f t="shared" si="74"/>
        <v>4.9083333333333332</v>
      </c>
      <c r="U101" s="106">
        <f t="shared" si="74"/>
        <v>5.9083333333333332</v>
      </c>
    </row>
    <row r="102" spans="2:21" x14ac:dyDescent="0.2">
      <c r="B102" t="s">
        <v>283</v>
      </c>
      <c r="P102" s="106">
        <f>P101/2</f>
        <v>0.45416666666666666</v>
      </c>
      <c r="Q102" s="106">
        <f>P102+P101/2+0.5</f>
        <v>1.4083333333333332</v>
      </c>
      <c r="R102" s="106">
        <f>Q102+1</f>
        <v>2.4083333333333332</v>
      </c>
      <c r="S102" s="106">
        <f>R102+1</f>
        <v>3.4083333333333332</v>
      </c>
      <c r="T102" s="106">
        <f t="shared" ref="T102:U102" si="75">S102+1</f>
        <v>4.4083333333333332</v>
      </c>
      <c r="U102" s="106">
        <f t="shared" si="75"/>
        <v>5.4083333333333332</v>
      </c>
    </row>
    <row r="104" spans="2:21" x14ac:dyDescent="0.2">
      <c r="B104" s="50" t="s">
        <v>284</v>
      </c>
      <c r="P104" s="52">
        <f>P98/(1+$C$19)^P102</f>
        <v>1491.1071083541431</v>
      </c>
      <c r="Q104" s="52">
        <f t="shared" ref="Q104:T104" si="76">Q98/(1+$C$19)^Q102</f>
        <v>2004.401580856359</v>
      </c>
      <c r="R104" s="52">
        <f t="shared" si="76"/>
        <v>2216.4311803811615</v>
      </c>
      <c r="S104" s="52">
        <f t="shared" si="76"/>
        <v>2063.6467927687745</v>
      </c>
      <c r="T104" s="52">
        <f t="shared" si="76"/>
        <v>2269.5248891814772</v>
      </c>
      <c r="U104" s="52">
        <f>U98/(1+$C$19)^U102</f>
        <v>2398.204082885115</v>
      </c>
    </row>
    <row r="106" spans="2:21" x14ac:dyDescent="0.2">
      <c r="B106" t="s">
        <v>285</v>
      </c>
      <c r="U106" s="115">
        <f>(U98*(1+$C$20))/(C19-C20)</f>
        <v>68350.820871463744</v>
      </c>
    </row>
    <row r="107" spans="2:21" x14ac:dyDescent="0.2">
      <c r="B107" s="50" t="s">
        <v>286</v>
      </c>
      <c r="U107" s="52">
        <f>U106/(1+C19)^U102</f>
        <v>44898.512619072659</v>
      </c>
    </row>
    <row r="109" spans="2:21" x14ac:dyDescent="0.2">
      <c r="B109" s="50" t="s">
        <v>287</v>
      </c>
      <c r="U109" s="52">
        <f>U107+SUM(P104:U104)</f>
        <v>57341.828253499691</v>
      </c>
    </row>
    <row r="110" spans="2:21" x14ac:dyDescent="0.2">
      <c r="B110" t="s">
        <v>288</v>
      </c>
      <c r="U110" s="51">
        <f>BS!K10</f>
        <v>3543.2</v>
      </c>
    </row>
    <row r="111" spans="2:21" x14ac:dyDescent="0.2">
      <c r="B111" s="104" t="s">
        <v>289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55"/>
      <c r="P111" s="1"/>
      <c r="Q111" s="1"/>
      <c r="R111" s="1"/>
      <c r="S111" s="1"/>
      <c r="T111" s="1"/>
      <c r="U111" s="61">
        <f>-D</f>
        <v>-15595.5</v>
      </c>
    </row>
    <row r="112" spans="2:21" x14ac:dyDescent="0.2">
      <c r="B112" s="50" t="s">
        <v>290</v>
      </c>
      <c r="U112" s="52">
        <f>SUM(U109:U111)</f>
        <v>45289.528253499688</v>
      </c>
    </row>
    <row r="113" spans="2:21" x14ac:dyDescent="0.2">
      <c r="B113" s="104" t="s">
        <v>291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55"/>
      <c r="P113" s="1"/>
      <c r="Q113" s="1"/>
      <c r="R113" s="1"/>
      <c r="S113" s="1"/>
      <c r="T113" s="1"/>
      <c r="U113" s="125">
        <v>1137</v>
      </c>
    </row>
    <row r="114" spans="2:21" x14ac:dyDescent="0.2">
      <c r="B114" s="116" t="s">
        <v>236</v>
      </c>
      <c r="C114" s="117"/>
      <c r="D114" s="117"/>
      <c r="E114" s="117"/>
      <c r="F114" s="117"/>
      <c r="G114" s="117"/>
      <c r="H114" s="117"/>
      <c r="I114" s="117"/>
      <c r="J114" s="117"/>
      <c r="K114" s="117"/>
      <c r="L114" s="117"/>
      <c r="M114" s="117"/>
      <c r="N114" s="117"/>
      <c r="O114" s="118"/>
      <c r="P114" s="117"/>
      <c r="Q114" s="117"/>
      <c r="R114" s="117"/>
      <c r="S114" s="117"/>
      <c r="T114" s="117"/>
      <c r="U114" s="119">
        <f>U112/U113</f>
        <v>39.832478675021711</v>
      </c>
    </row>
  </sheetData>
  <dataValidations count="1">
    <dataValidation type="list" allowBlank="1" showInputMessage="1" showErrorMessage="1" sqref="C18" xr:uid="{4029C7BC-CBAB-3549-AF99-16A9788A79CC}">
      <formula1>"1,2,3"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BC25A-9EC6-8042-A355-FA77BE9F0E95}">
  <sheetPr>
    <tabColor rgb="FFFF0000"/>
  </sheetPr>
  <dimension ref="A1"/>
  <sheetViews>
    <sheetView topLeftCell="XFD1048576" workbookViewId="0"/>
  </sheetViews>
  <sheetFormatPr baseColWidth="10" defaultColWidth="0" defaultRowHeight="16" zeroHeight="1" x14ac:dyDescent="0.2"/>
  <cols>
    <col min="1" max="16384" width="10.83203125" hidden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0627-3F97-E64C-ACC2-B52A50CF4D84}">
  <dimension ref="A1:K60"/>
  <sheetViews>
    <sheetView topLeftCell="A34" zoomScale="106" workbookViewId="0">
      <selection activeCell="A59" sqref="A59"/>
    </sheetView>
  </sheetViews>
  <sheetFormatPr baseColWidth="10" defaultColWidth="9.1640625" defaultRowHeight="15" customHeight="1" outlineLevelRow="3" x14ac:dyDescent="0.2"/>
  <cols>
    <col min="1" max="1" width="53.33203125" customWidth="1"/>
    <col min="2" max="10" width="8" customWidth="1"/>
    <col min="11" max="11" width="11.83203125" customWidth="1"/>
  </cols>
  <sheetData>
    <row r="1" spans="1:11" ht="16" x14ac:dyDescent="0.2">
      <c r="A1" s="9" t="s">
        <v>4</v>
      </c>
    </row>
    <row r="2" spans="1:11" ht="16" x14ac:dyDescent="0.2">
      <c r="A2" s="10" t="s">
        <v>139</v>
      </c>
    </row>
    <row r="3" spans="1:11" ht="16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6" x14ac:dyDescent="0.2">
      <c r="B4" s="46"/>
    </row>
    <row r="5" spans="1:11" ht="16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6" x14ac:dyDescent="0.2">
      <c r="A6" s="12" t="s">
        <v>7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" x14ac:dyDescent="0.2">
      <c r="A7" s="12" t="s">
        <v>8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16" x14ac:dyDescent="0.2">
      <c r="A8" s="12"/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</row>
    <row r="9" spans="1:11" ht="16" x14ac:dyDescent="0.2">
      <c r="A9" s="12"/>
      <c r="B9" s="12" t="s">
        <v>19</v>
      </c>
      <c r="C9" s="12" t="s">
        <v>19</v>
      </c>
      <c r="D9" s="12"/>
      <c r="E9" s="12"/>
      <c r="F9" s="12"/>
      <c r="G9" s="12"/>
      <c r="H9" s="12"/>
      <c r="I9" s="12"/>
      <c r="J9" s="12"/>
      <c r="K9" s="12" t="s">
        <v>20</v>
      </c>
    </row>
    <row r="10" spans="1:11" ht="16" x14ac:dyDescent="0.2">
      <c r="A10" s="13" t="s">
        <v>140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 ht="16" outlineLevel="1" x14ac:dyDescent="0.2">
      <c r="A11" s="30" t="s">
        <v>141</v>
      </c>
      <c r="B11" s="19">
        <v>2759.3</v>
      </c>
      <c r="C11" s="19">
        <v>2818.9</v>
      </c>
      <c r="D11" s="19">
        <v>2884.9</v>
      </c>
      <c r="E11" s="19">
        <v>4518</v>
      </c>
      <c r="F11" s="19">
        <v>3594.6</v>
      </c>
      <c r="G11" s="19">
        <v>924.7</v>
      </c>
      <c r="H11" s="19">
        <v>4200.3</v>
      </c>
      <c r="I11" s="19">
        <v>3283.4</v>
      </c>
      <c r="J11" s="19">
        <v>4124.7</v>
      </c>
      <c r="K11" s="19">
        <v>3762.3</v>
      </c>
    </row>
    <row r="12" spans="1:11" ht="16" outlineLevel="1" x14ac:dyDescent="0.2">
      <c r="A12" s="20" t="s">
        <v>142</v>
      </c>
      <c r="B12" s="21">
        <v>933.8</v>
      </c>
      <c r="C12" s="21">
        <v>1030.0999999999999</v>
      </c>
      <c r="D12" s="21">
        <v>1067.0999999999999</v>
      </c>
      <c r="E12" s="21">
        <v>1305.9000000000001</v>
      </c>
      <c r="F12" s="21">
        <v>1449.3</v>
      </c>
      <c r="G12" s="21">
        <v>2700.8</v>
      </c>
      <c r="H12" s="21">
        <v>2772.7</v>
      </c>
      <c r="I12" s="21">
        <v>3027.1</v>
      </c>
      <c r="J12" s="21">
        <v>1450.3</v>
      </c>
      <c r="K12" s="21">
        <v>2907.3</v>
      </c>
    </row>
    <row r="13" spans="1:11" ht="16" outlineLevel="2" x14ac:dyDescent="0.2">
      <c r="A13" s="18" t="s">
        <v>143</v>
      </c>
      <c r="B13" s="19">
        <v>883.8</v>
      </c>
      <c r="C13" s="19">
        <v>972.8</v>
      </c>
      <c r="D13" s="19">
        <v>1009.6</v>
      </c>
      <c r="E13" s="19">
        <v>1119.4000000000001</v>
      </c>
      <c r="F13" s="19">
        <v>1216.5</v>
      </c>
      <c r="G13" s="19">
        <v>2477.1</v>
      </c>
      <c r="H13" s="19">
        <v>2549.3000000000002</v>
      </c>
      <c r="I13" s="19">
        <v>2834.4</v>
      </c>
      <c r="J13" s="19">
        <v>1428.8</v>
      </c>
      <c r="K13" s="26"/>
    </row>
    <row r="14" spans="1:11" ht="16" outlineLevel="2" x14ac:dyDescent="0.2">
      <c r="A14" s="16" t="s">
        <v>144</v>
      </c>
      <c r="B14" s="17">
        <v>50</v>
      </c>
      <c r="C14" s="17">
        <v>57.3</v>
      </c>
      <c r="D14" s="17">
        <v>57.5</v>
      </c>
      <c r="E14" s="17">
        <v>186.5</v>
      </c>
      <c r="F14" s="17">
        <v>232.8</v>
      </c>
      <c r="G14" s="17">
        <v>223.7</v>
      </c>
      <c r="H14" s="17">
        <v>223.4</v>
      </c>
      <c r="I14" s="17">
        <v>192.7</v>
      </c>
      <c r="J14" s="17">
        <v>21.5</v>
      </c>
      <c r="K14" s="27"/>
    </row>
    <row r="15" spans="1:11" ht="16" outlineLevel="1" x14ac:dyDescent="0.2">
      <c r="A15" s="14" t="s">
        <v>145</v>
      </c>
      <c r="B15" s="15">
        <v>21.2</v>
      </c>
      <c r="C15" s="15">
        <v>265.7</v>
      </c>
      <c r="D15" s="15">
        <v>95.1</v>
      </c>
      <c r="E15" s="15">
        <v>714.9</v>
      </c>
      <c r="F15" s="15">
        <v>-1495.4</v>
      </c>
      <c r="G15" s="15">
        <v>-25.8</v>
      </c>
      <c r="H15" s="15">
        <v>-146.19999999999999</v>
      </c>
      <c r="I15" s="15">
        <v>-37.799999999999997</v>
      </c>
      <c r="J15" s="15">
        <v>-59.4</v>
      </c>
      <c r="K15" s="15">
        <v>-13.8</v>
      </c>
    </row>
    <row r="16" spans="1:11" ht="16" outlineLevel="2" x14ac:dyDescent="0.2">
      <c r="A16" s="16" t="s">
        <v>146</v>
      </c>
      <c r="B16" s="17">
        <v>21.2</v>
      </c>
      <c r="C16" s="17">
        <v>265.7</v>
      </c>
      <c r="D16" s="17">
        <v>95.1</v>
      </c>
      <c r="E16" s="17">
        <v>714.9</v>
      </c>
      <c r="F16" s="32">
        <v>-1495.4</v>
      </c>
      <c r="G16" s="32">
        <v>-25.8</v>
      </c>
      <c r="H16" s="32">
        <v>-146.19999999999999</v>
      </c>
      <c r="I16" s="32">
        <v>-37.799999999999997</v>
      </c>
      <c r="J16" s="32">
        <v>-59.4</v>
      </c>
      <c r="K16" s="32">
        <v>-13.8</v>
      </c>
    </row>
    <row r="17" spans="1:11" ht="16" outlineLevel="1" x14ac:dyDescent="0.2">
      <c r="A17" s="30" t="s">
        <v>147</v>
      </c>
      <c r="B17" s="25">
        <v>-244</v>
      </c>
      <c r="C17" s="19">
        <v>107.4</v>
      </c>
      <c r="D17" s="19">
        <v>37.5</v>
      </c>
      <c r="E17" s="25">
        <v>-1514.7</v>
      </c>
      <c r="F17" s="25">
        <v>-150.19999999999999</v>
      </c>
      <c r="G17" s="19">
        <v>674.5</v>
      </c>
      <c r="H17" s="25">
        <v>-336.5</v>
      </c>
      <c r="I17" s="19">
        <v>257.60000000000002</v>
      </c>
      <c r="J17" s="19">
        <v>1626.5</v>
      </c>
      <c r="K17" s="19">
        <v>488.6</v>
      </c>
    </row>
    <row r="18" spans="1:11" ht="16" outlineLevel="1" x14ac:dyDescent="0.2">
      <c r="A18" s="28" t="s">
        <v>148</v>
      </c>
      <c r="B18" s="17">
        <v>3470.3</v>
      </c>
      <c r="C18" s="17">
        <v>4222.1000000000004</v>
      </c>
      <c r="D18" s="17">
        <v>4084.6</v>
      </c>
      <c r="E18" s="17">
        <v>5024.1000000000004</v>
      </c>
      <c r="F18" s="17">
        <v>3398.3</v>
      </c>
      <c r="G18" s="17">
        <v>4274.2</v>
      </c>
      <c r="H18" s="17">
        <v>6490.3</v>
      </c>
      <c r="I18" s="17">
        <v>6530.3</v>
      </c>
      <c r="J18" s="17">
        <v>7142.1</v>
      </c>
      <c r="K18" s="17">
        <v>7144.4</v>
      </c>
    </row>
    <row r="19" spans="1:11" ht="16" outlineLevel="1" x14ac:dyDescent="0.2">
      <c r="A19" s="14" t="s">
        <v>149</v>
      </c>
      <c r="B19" s="15">
        <v>278.8</v>
      </c>
      <c r="C19" s="15">
        <v>353</v>
      </c>
      <c r="D19" s="15">
        <v>89.7</v>
      </c>
      <c r="E19" s="15">
        <v>6913.7</v>
      </c>
      <c r="F19" s="15">
        <v>1648.7</v>
      </c>
      <c r="G19" s="15">
        <v>-2676.4</v>
      </c>
      <c r="H19" s="15">
        <v>-501.2</v>
      </c>
      <c r="I19" s="15">
        <v>-2133</v>
      </c>
      <c r="J19" s="15">
        <v>-1133.4000000000001</v>
      </c>
      <c r="K19" s="15">
        <v>246.1</v>
      </c>
    </row>
    <row r="20" spans="1:11" ht="16" outlineLevel="2" x14ac:dyDescent="0.2">
      <c r="A20" s="16" t="s">
        <v>150</v>
      </c>
      <c r="B20" s="32">
        <v>-82.8</v>
      </c>
      <c r="C20" s="32">
        <v>-55.6</v>
      </c>
      <c r="D20" s="32">
        <v>-96.8</v>
      </c>
      <c r="E20" s="17">
        <v>131</v>
      </c>
      <c r="F20" s="32">
        <v>-197.7</v>
      </c>
      <c r="G20" s="32">
        <v>-2.7</v>
      </c>
      <c r="H20" s="32">
        <v>-43</v>
      </c>
      <c r="I20" s="32">
        <v>-326.10000000000002</v>
      </c>
      <c r="J20" s="32">
        <v>-4.0999999999999996</v>
      </c>
      <c r="K20" s="17">
        <v>18.399999999999999</v>
      </c>
    </row>
    <row r="21" spans="1:11" ht="16" outlineLevel="2" x14ac:dyDescent="0.2">
      <c r="A21" s="18" t="s">
        <v>30</v>
      </c>
      <c r="B21" s="25">
        <v>-207.9</v>
      </c>
      <c r="C21" s="25">
        <v>-67.5</v>
      </c>
      <c r="D21" s="19">
        <v>14</v>
      </c>
      <c r="E21" s="25">
        <v>-41.2</v>
      </c>
      <c r="F21" s="25">
        <v>-173</v>
      </c>
      <c r="G21" s="25">
        <v>-10.9</v>
      </c>
      <c r="H21" s="25">
        <v>-49.8</v>
      </c>
      <c r="I21" s="25">
        <v>-641</v>
      </c>
      <c r="J21" s="19">
        <v>366.4</v>
      </c>
      <c r="K21" s="19">
        <v>42.8</v>
      </c>
    </row>
    <row r="22" spans="1:11" ht="16" outlineLevel="2" x14ac:dyDescent="0.2">
      <c r="A22" s="16" t="s">
        <v>58</v>
      </c>
      <c r="B22" s="17">
        <v>137.69999999999999</v>
      </c>
      <c r="C22" s="17">
        <v>46.9</v>
      </c>
      <c r="D22" s="17">
        <v>46.4</v>
      </c>
      <c r="E22" s="17">
        <v>391.6</v>
      </c>
      <c r="F22" s="17">
        <v>31.9</v>
      </c>
      <c r="G22" s="32">
        <v>-210.8</v>
      </c>
      <c r="H22" s="17">
        <v>189.9</v>
      </c>
      <c r="I22" s="17">
        <v>345.5</v>
      </c>
      <c r="J22" s="17">
        <v>100.1</v>
      </c>
      <c r="K22" s="17">
        <v>28</v>
      </c>
    </row>
    <row r="23" spans="1:11" ht="16" outlineLevel="2" x14ac:dyDescent="0.2">
      <c r="A23" s="18" t="s">
        <v>151</v>
      </c>
      <c r="B23" s="26"/>
      <c r="C23" s="26"/>
      <c r="D23" s="26"/>
      <c r="E23" s="26"/>
      <c r="F23" s="19">
        <v>1237.0999999999999</v>
      </c>
      <c r="G23" s="25">
        <v>-1214.5999999999999</v>
      </c>
      <c r="H23" s="19">
        <v>286.10000000000002</v>
      </c>
      <c r="I23" s="25">
        <v>-149.6</v>
      </c>
      <c r="J23" s="19">
        <v>52.5</v>
      </c>
      <c r="K23" s="25">
        <v>-61.9</v>
      </c>
    </row>
    <row r="24" spans="1:11" ht="16" outlineLevel="2" x14ac:dyDescent="0.2">
      <c r="A24" s="16" t="s">
        <v>152</v>
      </c>
      <c r="B24" s="17">
        <v>431.8</v>
      </c>
      <c r="C24" s="17">
        <v>429.2</v>
      </c>
      <c r="D24" s="17">
        <v>126.1</v>
      </c>
      <c r="E24" s="17">
        <v>6432.3</v>
      </c>
      <c r="F24" s="17">
        <v>750.4</v>
      </c>
      <c r="G24" s="32">
        <v>-1237.4000000000001</v>
      </c>
      <c r="H24" s="32">
        <v>-884.4</v>
      </c>
      <c r="I24" s="32">
        <v>-1361.8</v>
      </c>
      <c r="J24" s="32">
        <v>-1648.3</v>
      </c>
      <c r="K24" s="32">
        <v>-1658.1</v>
      </c>
    </row>
    <row r="25" spans="1:11" ht="17" outlineLevel="1" thickBot="1" x14ac:dyDescent="0.25">
      <c r="A25" s="83" t="s">
        <v>153</v>
      </c>
      <c r="B25" s="84">
        <v>3749.1</v>
      </c>
      <c r="C25" s="84">
        <v>4575.1000000000004</v>
      </c>
      <c r="D25" s="84">
        <v>4174.3</v>
      </c>
      <c r="E25" s="84">
        <v>11937.8</v>
      </c>
      <c r="F25" s="84">
        <v>5047</v>
      </c>
      <c r="G25" s="84">
        <v>1597.8</v>
      </c>
      <c r="H25" s="84">
        <v>5989.1</v>
      </c>
      <c r="I25" s="84">
        <v>4397.3</v>
      </c>
      <c r="J25" s="84">
        <v>6008.7</v>
      </c>
      <c r="K25" s="84">
        <v>7390.5</v>
      </c>
    </row>
    <row r="26" spans="1:11" ht="17" thickTop="1" x14ac:dyDescent="0.2">
      <c r="A26" s="13" t="s">
        <v>154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6" outlineLevel="1" x14ac:dyDescent="0.2">
      <c r="A27" s="14" t="s">
        <v>155</v>
      </c>
      <c r="B27" s="40">
        <v>-1303.7</v>
      </c>
      <c r="C27" s="40">
        <v>-1440.3</v>
      </c>
      <c r="D27" s="40">
        <v>-1519.4</v>
      </c>
      <c r="E27" s="40">
        <v>-1976.4</v>
      </c>
      <c r="F27" s="40">
        <v>-1806.6</v>
      </c>
      <c r="G27" s="40">
        <v>-1483.6</v>
      </c>
      <c r="H27" s="40">
        <v>-1470</v>
      </c>
      <c r="I27" s="40">
        <v>-1841.3</v>
      </c>
      <c r="J27" s="40">
        <v>-2333.6</v>
      </c>
      <c r="K27" s="40">
        <v>-2777.5</v>
      </c>
    </row>
    <row r="28" spans="1:11" ht="16" outlineLevel="2" x14ac:dyDescent="0.2">
      <c r="A28" s="16" t="s">
        <v>156</v>
      </c>
      <c r="B28" s="41">
        <v>-1303.7</v>
      </c>
      <c r="C28" s="41">
        <v>-1440.3</v>
      </c>
      <c r="D28" s="41">
        <v>-1519.4</v>
      </c>
      <c r="E28" s="41">
        <v>-1976.4</v>
      </c>
      <c r="F28" s="41">
        <v>-1806.6</v>
      </c>
      <c r="G28" s="41">
        <v>-1483.6</v>
      </c>
      <c r="H28" s="41">
        <v>-1470</v>
      </c>
      <c r="I28" s="41">
        <v>-1841.3</v>
      </c>
      <c r="J28" s="41">
        <v>-2333.6</v>
      </c>
      <c r="K28" s="41">
        <v>-2777.5</v>
      </c>
    </row>
    <row r="29" spans="1:11" ht="16" outlineLevel="1" x14ac:dyDescent="0.2">
      <c r="A29" s="30" t="s">
        <v>157</v>
      </c>
      <c r="B29" s="42">
        <v>-645.1</v>
      </c>
      <c r="C29" s="43">
        <v>0</v>
      </c>
      <c r="D29" s="43">
        <v>0</v>
      </c>
      <c r="E29" s="42">
        <v>-1311.3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26"/>
    </row>
    <row r="30" spans="1:11" ht="16" outlineLevel="1" x14ac:dyDescent="0.2">
      <c r="A30" s="28" t="s">
        <v>158</v>
      </c>
      <c r="B30" s="27"/>
      <c r="C30" s="44">
        <v>0</v>
      </c>
      <c r="D30" s="44">
        <v>0</v>
      </c>
      <c r="E30" s="44">
        <v>608.20000000000005</v>
      </c>
      <c r="F30" s="44">
        <v>684.3</v>
      </c>
      <c r="G30" s="44">
        <v>0</v>
      </c>
      <c r="H30" s="44">
        <v>1175</v>
      </c>
      <c r="I30" s="44">
        <v>59.3</v>
      </c>
      <c r="J30" s="44">
        <v>0</v>
      </c>
      <c r="K30" s="44">
        <v>0</v>
      </c>
    </row>
    <row r="31" spans="1:11" ht="16" outlineLevel="1" x14ac:dyDescent="0.2">
      <c r="A31" s="14" t="s">
        <v>159</v>
      </c>
      <c r="B31" s="40">
        <v>60.9</v>
      </c>
      <c r="C31" s="40">
        <v>-807.5</v>
      </c>
      <c r="D31" s="40">
        <v>615.1</v>
      </c>
      <c r="E31" s="40">
        <v>312.39999999999998</v>
      </c>
      <c r="F31" s="40">
        <v>167.7</v>
      </c>
      <c r="G31" s="40">
        <v>-183.5</v>
      </c>
      <c r="H31" s="40">
        <v>56.7</v>
      </c>
      <c r="I31" s="40">
        <v>-238</v>
      </c>
      <c r="J31" s="40">
        <v>8.9</v>
      </c>
      <c r="K31" s="40">
        <v>151</v>
      </c>
    </row>
    <row r="32" spans="1:11" ht="16" outlineLevel="2" x14ac:dyDescent="0.2">
      <c r="A32" s="16" t="s">
        <v>160</v>
      </c>
      <c r="B32" s="44">
        <v>567.4</v>
      </c>
      <c r="C32" s="44">
        <v>1585.7</v>
      </c>
      <c r="D32" s="44">
        <v>674.4</v>
      </c>
      <c r="E32" s="44">
        <v>191.9</v>
      </c>
      <c r="F32" s="44">
        <v>190.4</v>
      </c>
      <c r="G32" s="44">
        <v>443.9</v>
      </c>
      <c r="H32" s="44">
        <v>432</v>
      </c>
      <c r="I32" s="44">
        <v>377.9</v>
      </c>
      <c r="J32" s="44">
        <v>610.5</v>
      </c>
      <c r="K32" s="44">
        <v>627.5</v>
      </c>
    </row>
    <row r="33" spans="1:11" ht="16" outlineLevel="2" x14ac:dyDescent="0.2">
      <c r="A33" s="18" t="s">
        <v>161</v>
      </c>
      <c r="B33" s="43">
        <v>628.29999999999995</v>
      </c>
      <c r="C33" s="43">
        <v>778.2</v>
      </c>
      <c r="D33" s="43">
        <v>1289.5</v>
      </c>
      <c r="E33" s="43">
        <v>504.3</v>
      </c>
      <c r="F33" s="43">
        <v>358.1</v>
      </c>
      <c r="G33" s="43">
        <v>260.39999999999998</v>
      </c>
      <c r="H33" s="43">
        <v>488.7</v>
      </c>
      <c r="I33" s="43">
        <v>139.9</v>
      </c>
      <c r="J33" s="43">
        <v>619.4</v>
      </c>
      <c r="K33" s="43">
        <v>778.5</v>
      </c>
    </row>
    <row r="34" spans="1:11" ht="16" outlineLevel="1" x14ac:dyDescent="0.2">
      <c r="A34" s="20" t="s">
        <v>147</v>
      </c>
      <c r="B34" s="45">
        <v>6.8</v>
      </c>
      <c r="C34" s="45">
        <v>24.9</v>
      </c>
      <c r="D34" s="45">
        <v>54.3</v>
      </c>
      <c r="E34" s="45">
        <v>5.6</v>
      </c>
      <c r="F34" s="45">
        <v>-56.2</v>
      </c>
      <c r="G34" s="45">
        <v>-44.4</v>
      </c>
      <c r="H34" s="45">
        <v>-81.2</v>
      </c>
      <c r="I34" s="45">
        <v>-126.3</v>
      </c>
      <c r="J34" s="45">
        <v>53.9</v>
      </c>
      <c r="K34" s="45">
        <v>-72.7</v>
      </c>
    </row>
    <row r="35" spans="1:11" ht="16" outlineLevel="2" x14ac:dyDescent="0.2">
      <c r="A35" s="18" t="s">
        <v>162</v>
      </c>
      <c r="B35" s="43">
        <v>0</v>
      </c>
      <c r="C35" s="43">
        <v>0</v>
      </c>
      <c r="D35" s="43">
        <v>0</v>
      </c>
      <c r="E35" s="43">
        <v>0</v>
      </c>
      <c r="F35" s="42">
        <v>-56.2</v>
      </c>
      <c r="G35" s="42">
        <v>-44.4</v>
      </c>
      <c r="H35" s="42">
        <v>-81.2</v>
      </c>
      <c r="I35" s="42">
        <v>-126.3</v>
      </c>
      <c r="J35" s="42">
        <v>-56.1</v>
      </c>
      <c r="K35" s="42">
        <v>-72.7</v>
      </c>
    </row>
    <row r="36" spans="1:11" ht="16" outlineLevel="2" x14ac:dyDescent="0.2">
      <c r="A36" s="16" t="s">
        <v>163</v>
      </c>
      <c r="B36" s="44">
        <v>6.8</v>
      </c>
      <c r="C36" s="44">
        <v>24.9</v>
      </c>
      <c r="D36" s="44">
        <v>54.3</v>
      </c>
      <c r="E36" s="44">
        <v>5.6</v>
      </c>
      <c r="F36" s="44">
        <v>0</v>
      </c>
      <c r="G36" s="44">
        <v>0</v>
      </c>
      <c r="H36" s="44">
        <v>0</v>
      </c>
      <c r="I36" s="44">
        <v>0</v>
      </c>
      <c r="J36" s="44">
        <v>110</v>
      </c>
      <c r="K36" s="27"/>
    </row>
    <row r="37" spans="1:11" ht="16" outlineLevel="1" x14ac:dyDescent="0.2">
      <c r="A37" s="30" t="s">
        <v>164</v>
      </c>
      <c r="B37" s="42">
        <v>-1881.1</v>
      </c>
      <c r="C37" s="42">
        <v>-2222.9</v>
      </c>
      <c r="D37" s="42">
        <v>-850</v>
      </c>
      <c r="E37" s="42">
        <v>-2361.5</v>
      </c>
      <c r="F37" s="42">
        <v>-1010.8</v>
      </c>
      <c r="G37" s="42">
        <v>-1711.5</v>
      </c>
      <c r="H37" s="42">
        <v>-319.5</v>
      </c>
      <c r="I37" s="42">
        <v>-2146.3000000000002</v>
      </c>
      <c r="J37" s="42">
        <v>-2270.8000000000002</v>
      </c>
      <c r="K37" s="42">
        <v>-2699.2</v>
      </c>
    </row>
    <row r="38" spans="1:11" ht="16" x14ac:dyDescent="0.2">
      <c r="A38" s="13" t="s">
        <v>165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</row>
    <row r="39" spans="1:11" ht="16" outlineLevel="1" x14ac:dyDescent="0.2">
      <c r="A39" s="14" t="s">
        <v>166</v>
      </c>
      <c r="B39" s="15">
        <v>-928.6</v>
      </c>
      <c r="C39" s="15">
        <v>-1178</v>
      </c>
      <c r="D39" s="15">
        <v>-1450.4</v>
      </c>
      <c r="E39" s="15">
        <v>-1743.4</v>
      </c>
      <c r="F39" s="15">
        <v>-1761.3</v>
      </c>
      <c r="G39" s="15">
        <v>-1923.5</v>
      </c>
      <c r="H39" s="15">
        <v>-2119</v>
      </c>
      <c r="I39" s="15">
        <v>-2263.3000000000002</v>
      </c>
      <c r="J39" s="15">
        <v>-2431.8000000000002</v>
      </c>
      <c r="K39" s="15">
        <v>-2585</v>
      </c>
    </row>
    <row r="40" spans="1:11" ht="16" outlineLevel="2" x14ac:dyDescent="0.2">
      <c r="A40" s="16" t="s">
        <v>167</v>
      </c>
      <c r="B40" s="32">
        <v>-928.6</v>
      </c>
      <c r="C40" s="32">
        <v>-1178</v>
      </c>
      <c r="D40" s="32">
        <v>-1450.4</v>
      </c>
      <c r="E40" s="32">
        <v>-1743.4</v>
      </c>
      <c r="F40" s="32">
        <v>-1761.3</v>
      </c>
      <c r="G40" s="32">
        <v>-1923.5</v>
      </c>
      <c r="H40" s="32">
        <v>-2119</v>
      </c>
      <c r="I40" s="32">
        <v>-2263.3000000000002</v>
      </c>
      <c r="J40" s="32">
        <v>-2431.8000000000002</v>
      </c>
      <c r="K40" s="32">
        <v>-2585</v>
      </c>
    </row>
    <row r="41" spans="1:11" ht="16" outlineLevel="1" x14ac:dyDescent="0.2">
      <c r="A41" s="14" t="s">
        <v>168</v>
      </c>
      <c r="B41" s="15">
        <v>-1244.3</v>
      </c>
      <c r="C41" s="15">
        <v>-1834.9</v>
      </c>
      <c r="D41" s="15">
        <v>-1891.7</v>
      </c>
      <c r="E41" s="15">
        <v>-6979.6</v>
      </c>
      <c r="F41" s="15">
        <v>-9812.5</v>
      </c>
      <c r="G41" s="15">
        <v>-1400.1</v>
      </c>
      <c r="H41" s="15">
        <v>246.2</v>
      </c>
      <c r="I41" s="15">
        <v>-3911.4</v>
      </c>
      <c r="J41" s="15">
        <v>-817</v>
      </c>
      <c r="K41" s="15">
        <v>-1158.7</v>
      </c>
    </row>
    <row r="42" spans="1:11" ht="16" outlineLevel="2" x14ac:dyDescent="0.2">
      <c r="A42" s="16" t="s">
        <v>169</v>
      </c>
      <c r="B42" s="32">
        <v>-1436.1</v>
      </c>
      <c r="C42" s="32">
        <v>-1995.6</v>
      </c>
      <c r="D42" s="32">
        <v>-2042.5</v>
      </c>
      <c r="E42" s="32">
        <v>-7133.5</v>
      </c>
      <c r="F42" s="32">
        <v>-10222.299999999999</v>
      </c>
      <c r="G42" s="32">
        <v>-1698.9</v>
      </c>
      <c r="H42" s="17">
        <v>0</v>
      </c>
      <c r="I42" s="32">
        <v>-4013</v>
      </c>
      <c r="J42" s="32">
        <v>-984.4</v>
      </c>
      <c r="K42" s="32">
        <v>-1266.7</v>
      </c>
    </row>
    <row r="43" spans="1:11" ht="16" outlineLevel="2" x14ac:dyDescent="0.2">
      <c r="A43" s="22" t="s">
        <v>170</v>
      </c>
      <c r="B43" s="15">
        <v>191.8</v>
      </c>
      <c r="C43" s="15">
        <v>160.69999999999999</v>
      </c>
      <c r="D43" s="15">
        <v>150.80000000000001</v>
      </c>
      <c r="E43" s="15">
        <v>153.9</v>
      </c>
      <c r="F43" s="15">
        <v>409.8</v>
      </c>
      <c r="G43" s="15">
        <v>298.8</v>
      </c>
      <c r="H43" s="15">
        <v>246.2</v>
      </c>
      <c r="I43" s="15">
        <v>101.6</v>
      </c>
      <c r="J43" s="15">
        <v>167.4</v>
      </c>
      <c r="K43" s="15">
        <v>108</v>
      </c>
    </row>
    <row r="44" spans="1:11" ht="16" outlineLevel="3" x14ac:dyDescent="0.2">
      <c r="A44" s="23" t="s">
        <v>171</v>
      </c>
      <c r="B44" s="17">
        <v>191.8</v>
      </c>
      <c r="C44" s="17">
        <v>160.69999999999999</v>
      </c>
      <c r="D44" s="17">
        <v>150.80000000000001</v>
      </c>
      <c r="E44" s="17">
        <v>153.9</v>
      </c>
      <c r="F44" s="17">
        <v>409.8</v>
      </c>
      <c r="G44" s="17">
        <v>298.8</v>
      </c>
      <c r="H44" s="17">
        <v>246.2</v>
      </c>
      <c r="I44" s="17">
        <v>101.6</v>
      </c>
      <c r="J44" s="17">
        <v>167.4</v>
      </c>
      <c r="K44" s="17">
        <v>108</v>
      </c>
    </row>
    <row r="45" spans="1:11" ht="16" outlineLevel="1" x14ac:dyDescent="0.2">
      <c r="A45" s="14" t="s">
        <v>172</v>
      </c>
      <c r="B45" s="15">
        <v>238.4</v>
      </c>
      <c r="C45" s="15">
        <v>1254.5</v>
      </c>
      <c r="D45" s="15">
        <v>350.2</v>
      </c>
      <c r="E45" s="15">
        <v>5584.1</v>
      </c>
      <c r="F45" s="15">
        <v>1646</v>
      </c>
      <c r="G45" s="15">
        <v>5166.5</v>
      </c>
      <c r="H45" s="15">
        <v>-1681.2</v>
      </c>
      <c r="I45" s="15">
        <v>673.1</v>
      </c>
      <c r="J45" s="15">
        <v>358.6</v>
      </c>
      <c r="K45" s="15">
        <v>-1158.4000000000001</v>
      </c>
    </row>
    <row r="46" spans="1:11" ht="16" outlineLevel="2" x14ac:dyDescent="0.2">
      <c r="A46" s="16" t="s">
        <v>173</v>
      </c>
      <c r="B46" s="17">
        <v>0</v>
      </c>
      <c r="C46" s="17">
        <v>0</v>
      </c>
      <c r="D46" s="17">
        <v>0</v>
      </c>
      <c r="E46" s="17">
        <v>0</v>
      </c>
      <c r="F46" s="17">
        <v>0</v>
      </c>
      <c r="G46" s="17">
        <v>438.9</v>
      </c>
      <c r="H46" s="32">
        <v>-134.69999999999999</v>
      </c>
      <c r="I46" s="17">
        <v>0</v>
      </c>
      <c r="J46" s="17">
        <v>35.799999999999997</v>
      </c>
      <c r="K46" s="32">
        <v>-1328.6</v>
      </c>
    </row>
    <row r="47" spans="1:11" ht="16" outlineLevel="2" x14ac:dyDescent="0.2">
      <c r="A47" s="22" t="s">
        <v>174</v>
      </c>
      <c r="B47" s="15">
        <v>238.4</v>
      </c>
      <c r="C47" s="15">
        <v>1254.5</v>
      </c>
      <c r="D47" s="15">
        <v>350.2</v>
      </c>
      <c r="E47" s="15">
        <v>5584.1</v>
      </c>
      <c r="F47" s="15">
        <v>1646</v>
      </c>
      <c r="G47" s="15">
        <v>4727.6000000000004</v>
      </c>
      <c r="H47" s="15">
        <v>-1546.5</v>
      </c>
      <c r="I47" s="15">
        <v>673.1</v>
      </c>
      <c r="J47" s="15">
        <v>322.8</v>
      </c>
      <c r="K47" s="15">
        <v>170.2</v>
      </c>
    </row>
    <row r="48" spans="1:11" ht="16" outlineLevel="3" x14ac:dyDescent="0.2">
      <c r="A48" s="23" t="s">
        <v>175</v>
      </c>
      <c r="B48" s="17">
        <v>848.5</v>
      </c>
      <c r="C48" s="17">
        <v>1254.5</v>
      </c>
      <c r="D48" s="17">
        <v>750.2</v>
      </c>
      <c r="E48" s="17">
        <v>5584.1</v>
      </c>
      <c r="F48" s="17">
        <v>1996</v>
      </c>
      <c r="G48" s="17">
        <v>4727.6000000000004</v>
      </c>
      <c r="H48" s="17">
        <v>0</v>
      </c>
      <c r="I48" s="17">
        <v>1673.1</v>
      </c>
      <c r="J48" s="17">
        <v>1322.8</v>
      </c>
      <c r="K48" s="17">
        <v>1995.3</v>
      </c>
    </row>
    <row r="49" spans="1:11" ht="16" outlineLevel="3" x14ac:dyDescent="0.2">
      <c r="A49" s="24" t="s">
        <v>176</v>
      </c>
      <c r="B49" s="25">
        <v>-610.1</v>
      </c>
      <c r="C49" s="19">
        <v>0</v>
      </c>
      <c r="D49" s="25">
        <v>-400</v>
      </c>
      <c r="E49" s="19">
        <v>0</v>
      </c>
      <c r="F49" s="25">
        <v>-350</v>
      </c>
      <c r="G49" s="19">
        <v>0</v>
      </c>
      <c r="H49" s="25">
        <v>-1546.5</v>
      </c>
      <c r="I49" s="25">
        <v>-1000</v>
      </c>
      <c r="J49" s="25">
        <v>-1000</v>
      </c>
      <c r="K49" s="25">
        <v>-1825.1</v>
      </c>
    </row>
    <row r="50" spans="1:11" ht="16" outlineLevel="1" x14ac:dyDescent="0.2">
      <c r="A50" s="20" t="s">
        <v>147</v>
      </c>
      <c r="B50" s="21">
        <v>38.799999999999997</v>
      </c>
      <c r="C50" s="21">
        <v>8.4</v>
      </c>
      <c r="D50" s="21">
        <v>-9.6999999999999993</v>
      </c>
      <c r="E50" s="21">
        <v>-103.9</v>
      </c>
      <c r="F50" s="21">
        <v>-129.1</v>
      </c>
      <c r="G50" s="21">
        <v>-129.6</v>
      </c>
      <c r="H50" s="21">
        <v>-97</v>
      </c>
      <c r="I50" s="21">
        <v>-136.4</v>
      </c>
      <c r="J50" s="21">
        <v>-100.4</v>
      </c>
      <c r="K50" s="21">
        <v>-111</v>
      </c>
    </row>
    <row r="51" spans="1:11" ht="16" outlineLevel="2" x14ac:dyDescent="0.2">
      <c r="A51" s="18" t="s">
        <v>162</v>
      </c>
      <c r="B51" s="25">
        <v>-93.6</v>
      </c>
      <c r="C51" s="25">
        <v>-114.4</v>
      </c>
      <c r="D51" s="25">
        <v>-87.2</v>
      </c>
      <c r="E51" s="25">
        <v>-103.9</v>
      </c>
      <c r="F51" s="25">
        <v>-129.1</v>
      </c>
      <c r="G51" s="25">
        <v>-129.6</v>
      </c>
      <c r="H51" s="25">
        <v>-97</v>
      </c>
      <c r="I51" s="25">
        <v>-136.4</v>
      </c>
      <c r="J51" s="25">
        <v>-100.4</v>
      </c>
      <c r="K51" s="25">
        <v>-111</v>
      </c>
    </row>
    <row r="52" spans="1:11" ht="16" outlineLevel="2" x14ac:dyDescent="0.2">
      <c r="A52" s="16" t="s">
        <v>163</v>
      </c>
      <c r="B52" s="17">
        <v>132.4</v>
      </c>
      <c r="C52" s="17">
        <v>122.8</v>
      </c>
      <c r="D52" s="17">
        <v>77.5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27"/>
    </row>
    <row r="53" spans="1:11" ht="16" outlineLevel="1" x14ac:dyDescent="0.2">
      <c r="A53" s="30" t="s">
        <v>177</v>
      </c>
      <c r="B53" s="25">
        <v>-1895.7</v>
      </c>
      <c r="C53" s="25">
        <v>-1750</v>
      </c>
      <c r="D53" s="25">
        <v>-3001.6</v>
      </c>
      <c r="E53" s="25">
        <v>-3242.8</v>
      </c>
      <c r="F53" s="25">
        <v>-10056.9</v>
      </c>
      <c r="G53" s="19">
        <v>1713.3</v>
      </c>
      <c r="H53" s="25">
        <v>-3651</v>
      </c>
      <c r="I53" s="25">
        <v>-5638</v>
      </c>
      <c r="J53" s="25">
        <v>-2990.6</v>
      </c>
      <c r="K53" s="25">
        <v>-5013.1000000000004</v>
      </c>
    </row>
    <row r="54" spans="1:11" ht="16" x14ac:dyDescent="0.2">
      <c r="A54" s="13" t="s">
        <v>178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</row>
    <row r="55" spans="1:11" ht="16" outlineLevel="1" x14ac:dyDescent="0.2">
      <c r="A55" s="30" t="s">
        <v>179</v>
      </c>
      <c r="B55" s="25">
        <v>-150.6</v>
      </c>
      <c r="C55" s="25">
        <v>-3.5</v>
      </c>
      <c r="D55" s="19">
        <v>10.8</v>
      </c>
      <c r="E55" s="25">
        <v>-39.5</v>
      </c>
      <c r="F55" s="25">
        <v>-49</v>
      </c>
      <c r="G55" s="19">
        <v>64.7</v>
      </c>
      <c r="H55" s="19">
        <v>86.2</v>
      </c>
      <c r="I55" s="25">
        <v>-250.3</v>
      </c>
      <c r="J55" s="25">
        <v>-14.2</v>
      </c>
      <c r="K55" s="19">
        <v>56.5</v>
      </c>
    </row>
    <row r="56" spans="1:11" ht="16" outlineLevel="1" x14ac:dyDescent="0.2">
      <c r="A56" s="28" t="s">
        <v>180</v>
      </c>
      <c r="B56" s="32">
        <v>-178.3</v>
      </c>
      <c r="C56" s="17">
        <v>598.70000000000005</v>
      </c>
      <c r="D56" s="17">
        <v>333.5</v>
      </c>
      <c r="E56" s="17">
        <v>6294</v>
      </c>
      <c r="F56" s="32">
        <v>-6069.7</v>
      </c>
      <c r="G56" s="17">
        <v>1664.3</v>
      </c>
      <c r="H56" s="17">
        <v>2104.8000000000002</v>
      </c>
      <c r="I56" s="32">
        <v>-3637.3</v>
      </c>
      <c r="J56" s="17">
        <v>733.1</v>
      </c>
      <c r="K56" s="32">
        <v>-265.3</v>
      </c>
    </row>
    <row r="57" spans="1:11" ht="16" outlineLevel="1" x14ac:dyDescent="0.2">
      <c r="A57" s="14" t="s">
        <v>181</v>
      </c>
      <c r="B57" s="15">
        <v>2445.4</v>
      </c>
      <c r="C57" s="15">
        <v>3134.8</v>
      </c>
      <c r="D57" s="15">
        <v>2654.9</v>
      </c>
      <c r="E57" s="15">
        <v>9961.4</v>
      </c>
      <c r="F57" s="15">
        <v>3240.4</v>
      </c>
      <c r="G57" s="15">
        <v>114.2</v>
      </c>
      <c r="H57" s="15">
        <v>4519.1000000000004</v>
      </c>
      <c r="I57" s="15">
        <v>2556</v>
      </c>
      <c r="J57" s="15">
        <v>3675.1</v>
      </c>
      <c r="K57" s="15">
        <v>4613</v>
      </c>
    </row>
    <row r="58" spans="1:11" ht="16" outlineLevel="2" x14ac:dyDescent="0.2">
      <c r="A58" s="16" t="s">
        <v>182</v>
      </c>
      <c r="B58" s="17">
        <v>1.6158319999999999</v>
      </c>
      <c r="C58" s="17">
        <v>2.1085630000000002</v>
      </c>
      <c r="D58" s="17">
        <v>1.8165579999999999</v>
      </c>
      <c r="E58" s="17">
        <v>7.1428370000000001</v>
      </c>
      <c r="F58" s="17">
        <v>2.6276350000000002</v>
      </c>
      <c r="G58" s="17">
        <v>9.6631999999999996E-2</v>
      </c>
      <c r="H58" s="17">
        <v>3.8119779999999999</v>
      </c>
      <c r="I58" s="17">
        <v>2.2063009999999998</v>
      </c>
      <c r="J58" s="17">
        <v>3.1921309999999998</v>
      </c>
      <c r="K58" s="17">
        <v>4.0560980000000004</v>
      </c>
    </row>
    <row r="59" spans="1:11" ht="16" outlineLevel="2" x14ac:dyDescent="0.2">
      <c r="A59" s="18" t="s">
        <v>183</v>
      </c>
      <c r="B59" s="33">
        <v>2.786397</v>
      </c>
      <c r="C59" s="33">
        <v>3.8946480000000001</v>
      </c>
      <c r="D59" s="33">
        <v>3.3821599999999998</v>
      </c>
      <c r="E59" s="33">
        <v>12.566566999999999</v>
      </c>
      <c r="F59" s="33">
        <v>2.9734470000000002</v>
      </c>
      <c r="G59" s="33">
        <v>0.11462899999999999</v>
      </c>
      <c r="H59" s="33">
        <v>3.3758219999999999</v>
      </c>
      <c r="I59" s="33">
        <v>2.6184440000000002</v>
      </c>
      <c r="J59" s="33">
        <v>3.4974590000000001</v>
      </c>
      <c r="K59" s="33">
        <v>4.1630890000000003</v>
      </c>
    </row>
    <row r="60" spans="1:11" ht="16" x14ac:dyDescent="0.2">
      <c r="A60" s="37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0D39F-86C0-EC4A-AFD6-016A7D2B5680}">
  <dimension ref="A1:K78"/>
  <sheetViews>
    <sheetView topLeftCell="A39" zoomScale="115" workbookViewId="0">
      <selection activeCell="K54" sqref="K54"/>
    </sheetView>
  </sheetViews>
  <sheetFormatPr baseColWidth="10" defaultColWidth="9.1640625" defaultRowHeight="16" outlineLevelRow="3" x14ac:dyDescent="0.2"/>
  <cols>
    <col min="1" max="1" width="65.83203125" customWidth="1"/>
    <col min="2" max="6" width="8" customWidth="1"/>
    <col min="7" max="7" width="26.33203125" customWidth="1"/>
    <col min="8" max="10" width="8" customWidth="1"/>
    <col min="11" max="11" width="11.83203125" customWidth="1"/>
  </cols>
  <sheetData>
    <row r="1" spans="1:11" x14ac:dyDescent="0.2">
      <c r="A1" s="9" t="s">
        <v>4</v>
      </c>
    </row>
    <row r="2" spans="1:11" x14ac:dyDescent="0.2">
      <c r="A2" s="10" t="s">
        <v>5</v>
      </c>
    </row>
    <row r="4" spans="1:11" x14ac:dyDescent="0.2">
      <c r="A4" s="12" t="s">
        <v>6</v>
      </c>
      <c r="B4" s="12"/>
      <c r="C4" s="12"/>
      <c r="D4" s="12"/>
      <c r="E4" s="12"/>
      <c r="F4" s="12"/>
      <c r="G4" s="12"/>
      <c r="H4" s="12"/>
      <c r="I4" s="12"/>
      <c r="J4" s="12"/>
      <c r="K4" s="12"/>
    </row>
    <row r="5" spans="1:11" x14ac:dyDescent="0.2">
      <c r="A5" s="12" t="s">
        <v>7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x14ac:dyDescent="0.2">
      <c r="A6" s="12" t="s">
        <v>8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x14ac:dyDescent="0.2">
      <c r="A7" s="12"/>
      <c r="B7" s="12" t="s">
        <v>9</v>
      </c>
      <c r="C7" s="12" t="s">
        <v>10</v>
      </c>
      <c r="D7" s="12" t="s">
        <v>11</v>
      </c>
      <c r="E7" s="12" t="s">
        <v>12</v>
      </c>
      <c r="F7" s="12" t="s">
        <v>13</v>
      </c>
      <c r="G7" s="12" t="s">
        <v>14</v>
      </c>
      <c r="H7" s="12" t="s">
        <v>15</v>
      </c>
      <c r="I7" s="12" t="s">
        <v>16</v>
      </c>
      <c r="J7" s="12" t="s">
        <v>17</v>
      </c>
      <c r="K7" s="12" t="s">
        <v>18</v>
      </c>
    </row>
    <row r="8" spans="1:11" x14ac:dyDescent="0.2">
      <c r="A8" s="12"/>
      <c r="B8" s="12" t="s">
        <v>19</v>
      </c>
      <c r="C8" s="12" t="s">
        <v>19</v>
      </c>
      <c r="D8" s="12"/>
      <c r="E8" s="12"/>
      <c r="F8" s="12"/>
      <c r="G8" s="12"/>
      <c r="H8" s="12"/>
      <c r="I8" s="12"/>
      <c r="J8" s="12"/>
      <c r="K8" s="12" t="s">
        <v>20</v>
      </c>
    </row>
    <row r="9" spans="1:11" x14ac:dyDescent="0.2">
      <c r="A9" s="13" t="s">
        <v>21</v>
      </c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 outlineLevel="1" x14ac:dyDescent="0.2">
      <c r="A10" s="14" t="s">
        <v>22</v>
      </c>
      <c r="B10" s="15">
        <v>1611.4</v>
      </c>
      <c r="C10" s="15">
        <v>2263.1999999999998</v>
      </c>
      <c r="D10" s="15">
        <v>2690.9</v>
      </c>
      <c r="E10" s="15">
        <v>8937.7999999999993</v>
      </c>
      <c r="F10" s="15">
        <v>2757.1</v>
      </c>
      <c r="G10" s="15">
        <v>4632.1000000000004</v>
      </c>
      <c r="H10" s="15">
        <v>6617.9</v>
      </c>
      <c r="I10" s="15">
        <v>3182.9</v>
      </c>
      <c r="J10" s="15">
        <v>3953</v>
      </c>
      <c r="K10" s="15">
        <v>3543.2</v>
      </c>
    </row>
    <row r="11" spans="1:11" outlineLevel="2" x14ac:dyDescent="0.2">
      <c r="A11" s="16" t="s">
        <v>23</v>
      </c>
      <c r="B11" s="17">
        <v>1530.1</v>
      </c>
      <c r="C11" s="17">
        <v>2128.8000000000002</v>
      </c>
      <c r="D11" s="17">
        <v>2462.3000000000002</v>
      </c>
      <c r="E11" s="17">
        <v>8756.2999999999993</v>
      </c>
      <c r="F11" s="17">
        <v>2686.6</v>
      </c>
      <c r="G11" s="17">
        <v>4350.8999999999996</v>
      </c>
      <c r="H11" s="17">
        <v>6455.7</v>
      </c>
      <c r="I11" s="17">
        <v>2818.4</v>
      </c>
      <c r="J11" s="17">
        <v>3551.5</v>
      </c>
      <c r="K11" s="17">
        <v>3286.2</v>
      </c>
    </row>
    <row r="12" spans="1:11" outlineLevel="2" x14ac:dyDescent="0.2">
      <c r="A12" s="18" t="s">
        <v>24</v>
      </c>
      <c r="B12" s="19">
        <v>81.3</v>
      </c>
      <c r="C12" s="19">
        <v>134.4</v>
      </c>
      <c r="D12" s="19">
        <v>228.6</v>
      </c>
      <c r="E12" s="19">
        <v>181.5</v>
      </c>
      <c r="F12" s="19">
        <v>70.5</v>
      </c>
      <c r="G12" s="19">
        <v>281.2</v>
      </c>
      <c r="H12" s="19">
        <v>162.19999999999999</v>
      </c>
      <c r="I12" s="19">
        <v>364.5</v>
      </c>
      <c r="J12" s="19">
        <v>401.5</v>
      </c>
      <c r="K12" s="19">
        <v>257</v>
      </c>
    </row>
    <row r="13" spans="1:11" outlineLevel="1" x14ac:dyDescent="0.2">
      <c r="A13" s="20" t="s">
        <v>25</v>
      </c>
      <c r="B13" s="21">
        <v>719</v>
      </c>
      <c r="C13" s="21">
        <v>768.8</v>
      </c>
      <c r="D13" s="21">
        <v>870.4</v>
      </c>
      <c r="E13" s="21">
        <v>1648.5</v>
      </c>
      <c r="F13" s="21">
        <v>1020.3</v>
      </c>
      <c r="G13" s="21">
        <v>1395.4</v>
      </c>
      <c r="H13" s="21">
        <v>1133.0999999999999</v>
      </c>
      <c r="I13" s="21">
        <v>1272.5999999999999</v>
      </c>
      <c r="J13" s="21">
        <v>1199.7</v>
      </c>
      <c r="K13" s="21">
        <v>1213.8</v>
      </c>
    </row>
    <row r="14" spans="1:11" outlineLevel="2" x14ac:dyDescent="0.2">
      <c r="A14" s="22" t="s">
        <v>26</v>
      </c>
      <c r="B14" s="15">
        <v>719</v>
      </c>
      <c r="C14" s="15">
        <v>768.8</v>
      </c>
      <c r="D14" s="15">
        <v>870.4</v>
      </c>
      <c r="E14" s="15">
        <v>693.1</v>
      </c>
      <c r="F14" s="15">
        <v>879.2</v>
      </c>
      <c r="G14" s="15">
        <v>883.4</v>
      </c>
      <c r="H14" s="15">
        <v>940</v>
      </c>
      <c r="I14" s="15">
        <v>1175.5</v>
      </c>
      <c r="J14" s="15">
        <v>1184.0999999999999</v>
      </c>
      <c r="K14" s="15">
        <v>1213.8</v>
      </c>
    </row>
    <row r="15" spans="1:11" outlineLevel="3" x14ac:dyDescent="0.2">
      <c r="A15" s="23" t="s">
        <v>27</v>
      </c>
      <c r="B15" s="17">
        <v>729.8</v>
      </c>
      <c r="C15" s="17">
        <v>778.2</v>
      </c>
      <c r="D15" s="17">
        <v>880.2</v>
      </c>
      <c r="E15" s="17">
        <v>701.1</v>
      </c>
      <c r="F15" s="17">
        <v>879.2</v>
      </c>
      <c r="G15" s="17">
        <v>883.4</v>
      </c>
      <c r="H15" s="17">
        <v>940</v>
      </c>
      <c r="I15" s="17">
        <v>1175.5</v>
      </c>
      <c r="J15" s="17">
        <v>1184.0999999999999</v>
      </c>
      <c r="K15" s="17">
        <v>1213.8</v>
      </c>
    </row>
    <row r="16" spans="1:11" outlineLevel="3" x14ac:dyDescent="0.2">
      <c r="A16" s="24" t="s">
        <v>28</v>
      </c>
      <c r="B16" s="25">
        <v>-10.8</v>
      </c>
      <c r="C16" s="25">
        <v>-9.4</v>
      </c>
      <c r="D16" s="25">
        <v>-9.8000000000000007</v>
      </c>
      <c r="E16" s="25">
        <v>-8</v>
      </c>
      <c r="F16" s="26"/>
      <c r="G16" s="26"/>
      <c r="H16" s="26"/>
      <c r="I16" s="26"/>
      <c r="J16" s="26"/>
      <c r="K16" s="26"/>
    </row>
    <row r="17" spans="1:11" outlineLevel="2" x14ac:dyDescent="0.2">
      <c r="A17" s="16" t="s">
        <v>29</v>
      </c>
      <c r="B17" s="17">
        <v>0</v>
      </c>
      <c r="C17" s="17">
        <v>0</v>
      </c>
      <c r="D17" s="17">
        <v>0</v>
      </c>
      <c r="E17" s="17">
        <v>955.4</v>
      </c>
      <c r="F17" s="17">
        <v>141.1</v>
      </c>
      <c r="G17" s="17">
        <v>512</v>
      </c>
      <c r="H17" s="17">
        <v>193.1</v>
      </c>
      <c r="I17" s="17">
        <v>97.1</v>
      </c>
      <c r="J17" s="17">
        <v>15.6</v>
      </c>
      <c r="K17" s="17">
        <v>0</v>
      </c>
    </row>
    <row r="18" spans="1:11" outlineLevel="1" x14ac:dyDescent="0.2">
      <c r="A18" s="14" t="s">
        <v>30</v>
      </c>
      <c r="B18" s="15">
        <v>1306.4000000000001</v>
      </c>
      <c r="C18" s="15">
        <v>1378.5</v>
      </c>
      <c r="D18" s="15">
        <v>1364</v>
      </c>
      <c r="E18" s="15">
        <v>1400.5</v>
      </c>
      <c r="F18" s="15">
        <v>1529.4</v>
      </c>
      <c r="G18" s="15">
        <v>1551.4</v>
      </c>
      <c r="H18" s="15">
        <v>1603.9</v>
      </c>
      <c r="I18" s="15">
        <v>2176.6</v>
      </c>
      <c r="J18" s="15">
        <v>1806.4</v>
      </c>
      <c r="K18" s="15">
        <v>1777.3</v>
      </c>
    </row>
    <row r="19" spans="1:11" outlineLevel="2" x14ac:dyDescent="0.2">
      <c r="A19" s="16" t="s">
        <v>31</v>
      </c>
      <c r="B19" s="17">
        <v>598</v>
      </c>
      <c r="C19" s="17">
        <v>609</v>
      </c>
      <c r="D19" s="17">
        <v>602.20000000000005</v>
      </c>
      <c r="E19" s="17">
        <v>554.29999999999995</v>
      </c>
      <c r="F19" s="17">
        <v>564.5</v>
      </c>
      <c r="G19" s="17">
        <v>517.4</v>
      </c>
      <c r="H19" s="17">
        <v>562.79999999999995</v>
      </c>
      <c r="I19" s="17">
        <v>741.2</v>
      </c>
      <c r="J19" s="17">
        <v>644.9</v>
      </c>
      <c r="K19" s="27"/>
    </row>
    <row r="20" spans="1:11" outlineLevel="2" x14ac:dyDescent="0.2">
      <c r="A20" s="18" t="s">
        <v>32</v>
      </c>
      <c r="B20" s="19">
        <v>708.4</v>
      </c>
      <c r="C20" s="19">
        <v>769.5</v>
      </c>
      <c r="D20" s="19">
        <v>761.8</v>
      </c>
      <c r="E20" s="19">
        <v>846.2</v>
      </c>
      <c r="F20" s="19">
        <v>964.9</v>
      </c>
      <c r="G20" s="19">
        <v>1034</v>
      </c>
      <c r="H20" s="19">
        <v>1041.0999999999999</v>
      </c>
      <c r="I20" s="19">
        <v>1435.4</v>
      </c>
      <c r="J20" s="19">
        <v>1161.5</v>
      </c>
      <c r="K20" s="26"/>
    </row>
    <row r="21" spans="1:11" outlineLevel="1" x14ac:dyDescent="0.2">
      <c r="A21" s="20" t="s">
        <v>33</v>
      </c>
      <c r="B21" s="21">
        <v>334.2</v>
      </c>
      <c r="C21" s="21">
        <v>347.4</v>
      </c>
      <c r="D21" s="21">
        <v>358.1</v>
      </c>
      <c r="E21" s="21">
        <v>507.4</v>
      </c>
      <c r="F21" s="21">
        <v>347.1</v>
      </c>
      <c r="G21" s="21">
        <v>227.5</v>
      </c>
      <c r="H21" s="21">
        <v>401.5</v>
      </c>
      <c r="I21" s="21">
        <v>386.6</v>
      </c>
      <c r="J21" s="21">
        <v>344.3</v>
      </c>
      <c r="K21" s="21">
        <v>313.10000000000002</v>
      </c>
    </row>
    <row r="22" spans="1:11" outlineLevel="2" x14ac:dyDescent="0.2">
      <c r="A22" s="18" t="s">
        <v>34</v>
      </c>
      <c r="B22" s="19">
        <v>334.2</v>
      </c>
      <c r="C22" s="19">
        <v>347.4</v>
      </c>
      <c r="D22" s="19">
        <v>358.1</v>
      </c>
      <c r="E22" s="19">
        <v>507.4</v>
      </c>
      <c r="F22" s="19">
        <v>347.1</v>
      </c>
      <c r="G22" s="19">
        <v>227.5</v>
      </c>
      <c r="H22" s="19">
        <v>401.5</v>
      </c>
      <c r="I22" s="19">
        <v>386.6</v>
      </c>
      <c r="J22" s="19">
        <v>344.3</v>
      </c>
      <c r="K22" s="19">
        <v>313.10000000000002</v>
      </c>
    </row>
    <row r="23" spans="1:11" outlineLevel="1" x14ac:dyDescent="0.2">
      <c r="A23" s="28" t="s">
        <v>35</v>
      </c>
      <c r="B23" s="17">
        <v>3971</v>
      </c>
      <c r="C23" s="17">
        <v>4757.8999999999996</v>
      </c>
      <c r="D23" s="17">
        <v>5283.4</v>
      </c>
      <c r="E23" s="17">
        <v>12494.2</v>
      </c>
      <c r="F23" s="17">
        <v>5653.9</v>
      </c>
      <c r="G23" s="17">
        <v>7806.4</v>
      </c>
      <c r="H23" s="17">
        <v>9756.4</v>
      </c>
      <c r="I23" s="17">
        <v>7018.7</v>
      </c>
      <c r="J23" s="17">
        <v>7303.4</v>
      </c>
      <c r="K23" s="17">
        <v>6847.4</v>
      </c>
    </row>
    <row r="24" spans="1:11" outlineLevel="1" x14ac:dyDescent="0.2">
      <c r="A24" s="14" t="s">
        <v>36</v>
      </c>
      <c r="B24" s="15">
        <v>4088.3</v>
      </c>
      <c r="C24" s="15">
        <v>4533.8</v>
      </c>
      <c r="D24" s="15">
        <v>4919.5</v>
      </c>
      <c r="E24" s="15">
        <v>5929.1</v>
      </c>
      <c r="F24" s="15">
        <v>6431.7</v>
      </c>
      <c r="G24" s="15">
        <v>14375.5</v>
      </c>
      <c r="H24" s="15">
        <v>14605.5</v>
      </c>
      <c r="I24" s="15">
        <v>14576.1</v>
      </c>
      <c r="J24" s="15">
        <v>15799.7</v>
      </c>
      <c r="K24" s="15">
        <v>17951.7</v>
      </c>
    </row>
    <row r="25" spans="1:11" outlineLevel="2" x14ac:dyDescent="0.2">
      <c r="A25" s="29" t="s">
        <v>37</v>
      </c>
      <c r="B25" s="21">
        <v>9641.7999999999993</v>
      </c>
      <c r="C25" s="21">
        <v>10573.3</v>
      </c>
      <c r="D25" s="21">
        <v>11584</v>
      </c>
      <c r="E25" s="21">
        <v>13197.1</v>
      </c>
      <c r="F25" s="21">
        <v>14273.5</v>
      </c>
      <c r="G25" s="21">
        <v>22289.4</v>
      </c>
      <c r="H25" s="21">
        <v>23064.799999999999</v>
      </c>
      <c r="I25" s="21">
        <v>23625.4</v>
      </c>
      <c r="J25" s="21">
        <v>25722.799999999999</v>
      </c>
      <c r="K25" s="13"/>
    </row>
    <row r="26" spans="1:11" outlineLevel="3" x14ac:dyDescent="0.2">
      <c r="A26" s="24" t="s">
        <v>38</v>
      </c>
      <c r="B26" s="19">
        <v>411.5</v>
      </c>
      <c r="C26" s="19">
        <v>458.4</v>
      </c>
      <c r="D26" s="19">
        <v>481.7</v>
      </c>
      <c r="E26" s="19">
        <v>557.29999999999995</v>
      </c>
      <c r="F26" s="19">
        <v>691.5</v>
      </c>
      <c r="G26" s="19">
        <v>586.79999999999995</v>
      </c>
      <c r="H26" s="19">
        <v>587.6</v>
      </c>
      <c r="I26" s="19">
        <v>555.4</v>
      </c>
      <c r="J26" s="19">
        <v>666.5</v>
      </c>
      <c r="K26" s="26"/>
    </row>
    <row r="27" spans="1:11" outlineLevel="3" x14ac:dyDescent="0.2">
      <c r="A27" s="23" t="s">
        <v>39</v>
      </c>
      <c r="B27" s="17">
        <v>46.6</v>
      </c>
      <c r="C27" s="17">
        <v>46.6</v>
      </c>
      <c r="D27" s="17">
        <v>46.9</v>
      </c>
      <c r="E27" s="17">
        <v>46.8</v>
      </c>
      <c r="F27" s="17">
        <v>46.8</v>
      </c>
      <c r="G27" s="17">
        <v>46</v>
      </c>
      <c r="H27" s="17">
        <v>46.2</v>
      </c>
      <c r="I27" s="17">
        <v>46.1</v>
      </c>
      <c r="J27" s="17">
        <v>46.1</v>
      </c>
      <c r="K27" s="27"/>
    </row>
    <row r="28" spans="1:11" outlineLevel="3" x14ac:dyDescent="0.2">
      <c r="A28" s="24" t="s">
        <v>40</v>
      </c>
      <c r="B28" s="19">
        <v>2249.9</v>
      </c>
      <c r="C28" s="19">
        <v>2537.1</v>
      </c>
      <c r="D28" s="19">
        <v>2730.5</v>
      </c>
      <c r="E28" s="19">
        <v>3059</v>
      </c>
      <c r="F28" s="19">
        <v>3429.1</v>
      </c>
      <c r="G28" s="19">
        <v>3596.9</v>
      </c>
      <c r="H28" s="19">
        <v>3791.3</v>
      </c>
      <c r="I28" s="19">
        <v>3856.7</v>
      </c>
      <c r="J28" s="19">
        <v>4191.8999999999996</v>
      </c>
      <c r="K28" s="26"/>
    </row>
    <row r="29" spans="1:11" outlineLevel="3" x14ac:dyDescent="0.2">
      <c r="A29" s="23" t="s">
        <v>41</v>
      </c>
      <c r="B29" s="17">
        <v>242.5</v>
      </c>
      <c r="C29" s="17">
        <v>271.39999999999998</v>
      </c>
      <c r="D29" s="17">
        <v>409.8</v>
      </c>
      <c r="E29" s="17">
        <v>501.9</v>
      </c>
      <c r="F29" s="17">
        <v>358.5</v>
      </c>
      <c r="G29" s="17">
        <v>377.3</v>
      </c>
      <c r="H29" s="17">
        <v>374.1</v>
      </c>
      <c r="I29" s="17">
        <v>558.70000000000005</v>
      </c>
      <c r="J29" s="17">
        <v>607.5</v>
      </c>
      <c r="K29" s="27"/>
    </row>
    <row r="30" spans="1:11" outlineLevel="3" x14ac:dyDescent="0.2">
      <c r="A30" s="24" t="s">
        <v>42</v>
      </c>
      <c r="B30" s="19">
        <v>6691.3</v>
      </c>
      <c r="C30" s="19">
        <v>7259.8</v>
      </c>
      <c r="D30" s="19">
        <v>7915.1</v>
      </c>
      <c r="E30" s="19">
        <v>9032.1</v>
      </c>
      <c r="F30" s="19">
        <v>9747.6</v>
      </c>
      <c r="G30" s="19">
        <v>9548.2999999999993</v>
      </c>
      <c r="H30" s="19">
        <v>10029.6</v>
      </c>
      <c r="I30" s="19">
        <v>10592.9</v>
      </c>
      <c r="J30" s="19">
        <v>11798.2</v>
      </c>
      <c r="K30" s="26"/>
    </row>
    <row r="31" spans="1:11" outlineLevel="3" x14ac:dyDescent="0.2">
      <c r="A31" s="23" t="s">
        <v>43</v>
      </c>
      <c r="B31" s="27"/>
      <c r="C31" s="27"/>
      <c r="D31" s="27"/>
      <c r="E31" s="27"/>
      <c r="F31" s="27"/>
      <c r="G31" s="17">
        <v>8134.1</v>
      </c>
      <c r="H31" s="17">
        <v>8236</v>
      </c>
      <c r="I31" s="17">
        <v>8015.6</v>
      </c>
      <c r="J31" s="17">
        <v>8412.6</v>
      </c>
      <c r="K31" s="17">
        <v>9286.2000000000007</v>
      </c>
    </row>
    <row r="32" spans="1:11" outlineLevel="2" x14ac:dyDescent="0.2">
      <c r="A32" s="18" t="s">
        <v>44</v>
      </c>
      <c r="B32" s="19">
        <v>5553.5</v>
      </c>
      <c r="C32" s="19">
        <v>6039.5</v>
      </c>
      <c r="D32" s="19">
        <v>6664.5</v>
      </c>
      <c r="E32" s="19">
        <v>7268</v>
      </c>
      <c r="F32" s="19">
        <v>7841.8</v>
      </c>
      <c r="G32" s="19">
        <v>7913.9</v>
      </c>
      <c r="H32" s="19">
        <v>8459.2999999999993</v>
      </c>
      <c r="I32" s="19">
        <v>9049.2999999999993</v>
      </c>
      <c r="J32" s="19">
        <v>9923.1</v>
      </c>
      <c r="K32" s="26"/>
    </row>
    <row r="33" spans="1:11" outlineLevel="1" x14ac:dyDescent="0.2">
      <c r="A33" s="20" t="s">
        <v>45</v>
      </c>
      <c r="B33" s="21">
        <v>664.5</v>
      </c>
      <c r="C33" s="21">
        <v>1496.2</v>
      </c>
      <c r="D33" s="21">
        <v>1023.9</v>
      </c>
      <c r="E33" s="21">
        <v>602.4</v>
      </c>
      <c r="F33" s="21">
        <v>616</v>
      </c>
      <c r="G33" s="21">
        <v>684.8</v>
      </c>
      <c r="H33" s="21">
        <v>634.5</v>
      </c>
      <c r="I33" s="21">
        <v>746.5</v>
      </c>
      <c r="J33" s="21">
        <v>840.3</v>
      </c>
      <c r="K33" s="21">
        <v>739.9</v>
      </c>
    </row>
    <row r="34" spans="1:11" outlineLevel="2" x14ac:dyDescent="0.2">
      <c r="A34" s="18" t="s">
        <v>46</v>
      </c>
      <c r="B34" s="19">
        <v>352</v>
      </c>
      <c r="C34" s="19">
        <v>354.5</v>
      </c>
      <c r="D34" s="19">
        <v>481.6</v>
      </c>
      <c r="E34" s="19">
        <v>334.7</v>
      </c>
      <c r="F34" s="19">
        <v>396</v>
      </c>
      <c r="G34" s="19">
        <v>478.7</v>
      </c>
      <c r="H34" s="19">
        <v>268.5</v>
      </c>
      <c r="I34" s="19">
        <v>311.2</v>
      </c>
      <c r="J34" s="19">
        <v>439.9</v>
      </c>
      <c r="K34" s="26"/>
    </row>
    <row r="35" spans="1:11" outlineLevel="2" x14ac:dyDescent="0.2">
      <c r="A35" s="16" t="s">
        <v>47</v>
      </c>
      <c r="B35" s="17">
        <v>312.5</v>
      </c>
      <c r="C35" s="17">
        <v>1141.7</v>
      </c>
      <c r="D35" s="17">
        <v>542.29999999999995</v>
      </c>
      <c r="E35" s="17">
        <v>267.7</v>
      </c>
      <c r="F35" s="17">
        <v>220</v>
      </c>
      <c r="G35" s="17">
        <v>206.1</v>
      </c>
      <c r="H35" s="17">
        <v>366</v>
      </c>
      <c r="I35" s="17">
        <v>435.3</v>
      </c>
      <c r="J35" s="17">
        <v>400.4</v>
      </c>
      <c r="K35" s="17">
        <v>739.9</v>
      </c>
    </row>
    <row r="36" spans="1:11" outlineLevel="1" x14ac:dyDescent="0.2">
      <c r="A36" s="14" t="s">
        <v>48</v>
      </c>
      <c r="B36" s="15">
        <v>2095.8000000000002</v>
      </c>
      <c r="C36" s="15">
        <v>2235.9</v>
      </c>
      <c r="D36" s="15">
        <v>1980.6</v>
      </c>
      <c r="E36" s="15">
        <v>4583.8</v>
      </c>
      <c r="F36" s="15">
        <v>4272.6000000000004</v>
      </c>
      <c r="G36" s="15">
        <v>4149.3</v>
      </c>
      <c r="H36" s="15">
        <v>4027.2</v>
      </c>
      <c r="I36" s="15">
        <v>3439.4</v>
      </c>
      <c r="J36" s="15">
        <v>3338.8</v>
      </c>
      <c r="K36" s="15">
        <v>3416.6</v>
      </c>
    </row>
    <row r="37" spans="1:11" outlineLevel="2" x14ac:dyDescent="0.2">
      <c r="A37" s="16" t="s">
        <v>49</v>
      </c>
      <c r="B37" s="17">
        <v>1575.4</v>
      </c>
      <c r="C37" s="17">
        <v>1719.6</v>
      </c>
      <c r="D37" s="17">
        <v>1539.2</v>
      </c>
      <c r="E37" s="17">
        <v>3541.6</v>
      </c>
      <c r="F37" s="17">
        <v>3490.8</v>
      </c>
      <c r="G37" s="17">
        <v>3597.2</v>
      </c>
      <c r="H37" s="17">
        <v>3677.3</v>
      </c>
      <c r="I37" s="17">
        <v>3283.5</v>
      </c>
      <c r="J37" s="17">
        <v>3218.3</v>
      </c>
      <c r="K37" s="17">
        <v>3315.7</v>
      </c>
    </row>
    <row r="38" spans="1:11" outlineLevel="2" x14ac:dyDescent="0.2">
      <c r="A38" s="18" t="s">
        <v>50</v>
      </c>
      <c r="B38" s="19">
        <v>520.4</v>
      </c>
      <c r="C38" s="19">
        <v>516.29999999999995</v>
      </c>
      <c r="D38" s="19">
        <v>441.4</v>
      </c>
      <c r="E38" s="19">
        <v>1042.2</v>
      </c>
      <c r="F38" s="19">
        <v>781.8</v>
      </c>
      <c r="G38" s="19">
        <v>552.1</v>
      </c>
      <c r="H38" s="19">
        <v>349.9</v>
      </c>
      <c r="I38" s="19">
        <v>155.9</v>
      </c>
      <c r="J38" s="19">
        <v>120.5</v>
      </c>
      <c r="K38" s="19">
        <v>100.9</v>
      </c>
    </row>
    <row r="39" spans="1:11" outlineLevel="1" x14ac:dyDescent="0.2">
      <c r="A39" s="28" t="s">
        <v>51</v>
      </c>
      <c r="B39" s="17">
        <v>1180.8</v>
      </c>
      <c r="C39" s="17">
        <v>885.4</v>
      </c>
      <c r="D39" s="17">
        <v>795.4</v>
      </c>
      <c r="E39" s="17">
        <v>134.69999999999999</v>
      </c>
      <c r="F39" s="17">
        <v>1765.8</v>
      </c>
      <c r="G39" s="17">
        <v>1789.9</v>
      </c>
      <c r="H39" s="17">
        <v>1874.8</v>
      </c>
      <c r="I39" s="17">
        <v>1799.7</v>
      </c>
      <c r="J39" s="17">
        <v>1769.8</v>
      </c>
      <c r="K39" s="17">
        <v>1766.7</v>
      </c>
    </row>
    <row r="40" spans="1:11" outlineLevel="1" x14ac:dyDescent="0.2">
      <c r="A40" s="14" t="s">
        <v>52</v>
      </c>
      <c r="B40" s="15">
        <v>415.9</v>
      </c>
      <c r="C40" s="15">
        <v>403.3</v>
      </c>
      <c r="D40" s="15">
        <v>362.8</v>
      </c>
      <c r="E40" s="15">
        <v>412.2</v>
      </c>
      <c r="F40" s="15">
        <v>479.6</v>
      </c>
      <c r="G40" s="15">
        <v>568.6</v>
      </c>
      <c r="H40" s="15">
        <v>494.2</v>
      </c>
      <c r="I40" s="15">
        <v>398</v>
      </c>
      <c r="J40" s="15">
        <v>393.5</v>
      </c>
      <c r="K40" s="15">
        <v>617</v>
      </c>
    </row>
    <row r="41" spans="1:11" outlineLevel="2" x14ac:dyDescent="0.2">
      <c r="A41" s="16" t="s">
        <v>53</v>
      </c>
      <c r="B41" s="17">
        <v>415.9</v>
      </c>
      <c r="C41" s="17">
        <v>403.3</v>
      </c>
      <c r="D41" s="17">
        <v>362.8</v>
      </c>
      <c r="E41" s="17">
        <v>412.2</v>
      </c>
      <c r="F41" s="17">
        <v>479.6</v>
      </c>
      <c r="G41" s="17">
        <v>568.6</v>
      </c>
      <c r="H41" s="17">
        <v>494.2</v>
      </c>
      <c r="I41" s="17">
        <v>398</v>
      </c>
      <c r="J41" s="17">
        <v>393.5</v>
      </c>
      <c r="K41" s="17">
        <v>617</v>
      </c>
    </row>
    <row r="42" spans="1:11" outlineLevel="1" x14ac:dyDescent="0.2">
      <c r="A42" s="30" t="s">
        <v>54</v>
      </c>
      <c r="B42" s="19">
        <v>12416.3</v>
      </c>
      <c r="C42" s="19">
        <v>14312.5</v>
      </c>
      <c r="D42" s="19">
        <v>14365.6</v>
      </c>
      <c r="E42" s="19">
        <v>24156.400000000001</v>
      </c>
      <c r="F42" s="19">
        <v>19219.599999999999</v>
      </c>
      <c r="G42" s="19">
        <v>29374.5</v>
      </c>
      <c r="H42" s="19">
        <v>31392.6</v>
      </c>
      <c r="I42" s="19">
        <v>27978.400000000001</v>
      </c>
      <c r="J42" s="19">
        <v>29445.5</v>
      </c>
      <c r="K42" s="19">
        <v>31339.3</v>
      </c>
    </row>
    <row r="43" spans="1:11" x14ac:dyDescent="0.2">
      <c r="A43" s="13" t="s">
        <v>55</v>
      </c>
      <c r="B43" s="13"/>
      <c r="C43" s="13"/>
      <c r="D43" s="13"/>
      <c r="E43" s="13"/>
      <c r="F43" s="13"/>
      <c r="G43" s="13"/>
      <c r="H43" s="13"/>
      <c r="I43" s="13"/>
      <c r="J43" s="13"/>
      <c r="K43" s="13"/>
    </row>
    <row r="44" spans="1:11" outlineLevel="1" x14ac:dyDescent="0.2">
      <c r="A44" s="14" t="s">
        <v>56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</row>
    <row r="45" spans="1:11" outlineLevel="2" x14ac:dyDescent="0.2">
      <c r="A45" s="16" t="s">
        <v>57</v>
      </c>
      <c r="B45" s="17">
        <v>0</v>
      </c>
      <c r="C45" s="17">
        <v>399.9</v>
      </c>
      <c r="D45" s="17">
        <v>4.0999999999999996</v>
      </c>
      <c r="E45" s="17">
        <v>354.3</v>
      </c>
      <c r="F45" s="17">
        <v>5.2</v>
      </c>
      <c r="G45" s="17">
        <v>2942.7</v>
      </c>
      <c r="H45" s="17">
        <v>2250.1999999999998</v>
      </c>
      <c r="I45" s="17">
        <v>3169.7</v>
      </c>
      <c r="J45" s="17">
        <v>3127.4</v>
      </c>
      <c r="K45" s="17">
        <v>2712</v>
      </c>
    </row>
    <row r="46" spans="1:11" outlineLevel="2" x14ac:dyDescent="0.2">
      <c r="A46" s="18" t="s">
        <v>58</v>
      </c>
      <c r="B46" s="19">
        <v>684.2</v>
      </c>
      <c r="C46" s="19">
        <v>730.6</v>
      </c>
      <c r="D46" s="19">
        <v>782.5</v>
      </c>
      <c r="E46" s="19">
        <v>1179.3</v>
      </c>
      <c r="F46" s="19">
        <v>1189.7</v>
      </c>
      <c r="G46" s="19">
        <v>997.9</v>
      </c>
      <c r="H46" s="19">
        <v>1211.5999999999999</v>
      </c>
      <c r="I46" s="19">
        <v>1441.4</v>
      </c>
      <c r="J46" s="19">
        <v>1544.3</v>
      </c>
      <c r="K46" s="19">
        <v>1595.5</v>
      </c>
    </row>
    <row r="47" spans="1:11" outlineLevel="2" x14ac:dyDescent="0.2">
      <c r="A47" s="16" t="s">
        <v>59</v>
      </c>
      <c r="B47" s="17">
        <v>259</v>
      </c>
      <c r="C47" s="17">
        <v>368.4</v>
      </c>
      <c r="D47" s="17">
        <v>226.6</v>
      </c>
      <c r="E47" s="17">
        <v>286.60000000000002</v>
      </c>
      <c r="F47" s="17">
        <v>176.7</v>
      </c>
      <c r="G47" s="17">
        <v>260.89999999999998</v>
      </c>
      <c r="H47" s="17">
        <v>566</v>
      </c>
      <c r="I47" s="17">
        <v>333.8</v>
      </c>
      <c r="J47" s="17">
        <v>402</v>
      </c>
      <c r="K47" s="27"/>
    </row>
    <row r="48" spans="1:11" outlineLevel="2" x14ac:dyDescent="0.2">
      <c r="A48" s="22" t="s">
        <v>60</v>
      </c>
      <c r="B48" s="15">
        <v>2704.9</v>
      </c>
      <c r="C48" s="15">
        <v>3047.9</v>
      </c>
      <c r="D48" s="15">
        <v>3207.5</v>
      </c>
      <c r="E48" s="15">
        <v>3864</v>
      </c>
      <c r="F48" s="15">
        <v>4797.1000000000004</v>
      </c>
      <c r="G48" s="15">
        <v>3145.3</v>
      </c>
      <c r="H48" s="15">
        <v>4123.6000000000004</v>
      </c>
      <c r="I48" s="15">
        <v>4206.8999999999996</v>
      </c>
      <c r="J48" s="15">
        <v>4271.6000000000004</v>
      </c>
      <c r="K48" s="15">
        <v>4762.5</v>
      </c>
    </row>
    <row r="49" spans="1:11" outlineLevel="3" x14ac:dyDescent="0.2">
      <c r="A49" s="23" t="s">
        <v>61</v>
      </c>
      <c r="B49" s="17">
        <v>297</v>
      </c>
      <c r="C49" s="17">
        <v>365.1</v>
      </c>
      <c r="D49" s="17">
        <v>429.5</v>
      </c>
      <c r="E49" s="17">
        <v>445.4</v>
      </c>
      <c r="F49" s="17">
        <v>485.7</v>
      </c>
      <c r="G49" s="17">
        <v>0</v>
      </c>
      <c r="H49" s="17">
        <v>578.1</v>
      </c>
      <c r="I49" s="17">
        <v>608.29999999999995</v>
      </c>
      <c r="J49" s="17">
        <v>651.20000000000005</v>
      </c>
      <c r="K49" s="27"/>
    </row>
    <row r="50" spans="1:11" outlineLevel="3" x14ac:dyDescent="0.2">
      <c r="A50" s="24" t="s">
        <v>62</v>
      </c>
      <c r="B50" s="19">
        <v>522.29999999999995</v>
      </c>
      <c r="C50" s="19">
        <v>510.8</v>
      </c>
      <c r="D50" s="19">
        <v>524.5</v>
      </c>
      <c r="E50" s="19">
        <v>656.8</v>
      </c>
      <c r="F50" s="19">
        <v>664.6</v>
      </c>
      <c r="G50" s="19">
        <v>696</v>
      </c>
      <c r="H50" s="19">
        <v>772.3</v>
      </c>
      <c r="I50" s="19">
        <v>761.7</v>
      </c>
      <c r="J50" s="19">
        <v>828.3</v>
      </c>
      <c r="K50" s="19">
        <v>786.6</v>
      </c>
    </row>
    <row r="51" spans="1:11" outlineLevel="3" x14ac:dyDescent="0.2">
      <c r="A51" s="23" t="s">
        <v>63</v>
      </c>
      <c r="B51" s="17">
        <v>1885.6</v>
      </c>
      <c r="C51" s="17">
        <v>2172</v>
      </c>
      <c r="D51" s="17">
        <v>2253.5</v>
      </c>
      <c r="E51" s="17">
        <v>2761.8</v>
      </c>
      <c r="F51" s="17">
        <v>3646.8</v>
      </c>
      <c r="G51" s="17">
        <v>2449.3000000000002</v>
      </c>
      <c r="H51" s="17">
        <v>2773.2</v>
      </c>
      <c r="I51" s="17">
        <v>2836.9</v>
      </c>
      <c r="J51" s="17">
        <v>2792.1</v>
      </c>
      <c r="K51" s="17">
        <v>3975.9</v>
      </c>
    </row>
    <row r="52" spans="1:11" outlineLevel="2" x14ac:dyDescent="0.2">
      <c r="A52" s="18" t="s">
        <v>64</v>
      </c>
      <c r="B52" s="19">
        <v>3648.1</v>
      </c>
      <c r="C52" s="19">
        <v>4546.8</v>
      </c>
      <c r="D52" s="19">
        <v>4220.7</v>
      </c>
      <c r="E52" s="19">
        <v>5684.2</v>
      </c>
      <c r="F52" s="19">
        <v>6168.7</v>
      </c>
      <c r="G52" s="19">
        <v>7346.8</v>
      </c>
      <c r="H52" s="19">
        <v>8151.4</v>
      </c>
      <c r="I52" s="19">
        <v>9151.7999999999993</v>
      </c>
      <c r="J52" s="19">
        <v>9345.2999999999993</v>
      </c>
      <c r="K52" s="19">
        <v>9070</v>
      </c>
    </row>
    <row r="53" spans="1:11" outlineLevel="1" x14ac:dyDescent="0.2">
      <c r="A53" s="20" t="s">
        <v>65</v>
      </c>
      <c r="B53" s="13"/>
      <c r="C53" s="13"/>
      <c r="D53" s="13"/>
      <c r="E53" s="13"/>
      <c r="F53" s="13"/>
      <c r="G53" s="13"/>
      <c r="H53" s="13"/>
      <c r="I53" s="13"/>
      <c r="J53" s="13"/>
      <c r="K53" s="13"/>
    </row>
    <row r="54" spans="1:11" outlineLevel="2" x14ac:dyDescent="0.2">
      <c r="A54" s="22" t="s">
        <v>66</v>
      </c>
      <c r="B54" s="15">
        <v>2347.5</v>
      </c>
      <c r="C54" s="15">
        <v>3185.3</v>
      </c>
      <c r="D54" s="15">
        <v>3987.6</v>
      </c>
      <c r="E54" s="15">
        <v>9143.7999999999993</v>
      </c>
      <c r="F54" s="15">
        <v>11229.7</v>
      </c>
      <c r="G54" s="15">
        <v>22384</v>
      </c>
      <c r="H54" s="15">
        <v>21354.9</v>
      </c>
      <c r="I54" s="15">
        <v>20635.099999999999</v>
      </c>
      <c r="J54" s="15">
        <v>21472.400000000001</v>
      </c>
      <c r="K54" s="15">
        <v>23091.1</v>
      </c>
    </row>
    <row r="55" spans="1:11" outlineLevel="3" x14ac:dyDescent="0.2">
      <c r="A55" s="23" t="s">
        <v>67</v>
      </c>
      <c r="B55" s="17">
        <v>2347.5</v>
      </c>
      <c r="C55" s="17">
        <v>3185.3</v>
      </c>
      <c r="D55" s="17">
        <v>3932.6</v>
      </c>
      <c r="E55" s="17">
        <v>9090.2000000000007</v>
      </c>
      <c r="F55" s="17">
        <v>11167</v>
      </c>
      <c r="G55" s="17">
        <v>14659.6</v>
      </c>
      <c r="H55" s="17">
        <v>13616.9</v>
      </c>
      <c r="I55" s="17">
        <v>13119.9</v>
      </c>
      <c r="J55" s="17">
        <v>13547.6</v>
      </c>
      <c r="K55" s="17">
        <v>14319.5</v>
      </c>
    </row>
    <row r="56" spans="1:11" outlineLevel="3" x14ac:dyDescent="0.2">
      <c r="A56" s="24" t="s">
        <v>68</v>
      </c>
      <c r="B56" s="19">
        <v>0</v>
      </c>
      <c r="C56" s="19">
        <v>0</v>
      </c>
      <c r="D56" s="19">
        <v>55</v>
      </c>
      <c r="E56" s="19">
        <v>53.6</v>
      </c>
      <c r="F56" s="19">
        <v>62.7</v>
      </c>
      <c r="G56" s="19">
        <v>7724.4</v>
      </c>
      <c r="H56" s="19">
        <v>7738</v>
      </c>
      <c r="I56" s="19">
        <v>7515.2</v>
      </c>
      <c r="J56" s="19">
        <v>7924.8</v>
      </c>
      <c r="K56" s="19">
        <v>8771.6</v>
      </c>
    </row>
    <row r="57" spans="1:11" outlineLevel="2" x14ac:dyDescent="0.2">
      <c r="A57" s="16" t="s">
        <v>69</v>
      </c>
      <c r="B57" s="17">
        <v>60.1</v>
      </c>
      <c r="C57" s="17">
        <v>67.900000000000006</v>
      </c>
      <c r="D57" s="17">
        <v>70</v>
      </c>
      <c r="E57" s="17">
        <v>82.4</v>
      </c>
      <c r="F57" s="17">
        <v>95.5</v>
      </c>
      <c r="G57" s="17">
        <v>111</v>
      </c>
      <c r="H57" s="17">
        <v>0</v>
      </c>
      <c r="I57" s="17">
        <v>0</v>
      </c>
      <c r="J57" s="17">
        <v>110.3</v>
      </c>
      <c r="K57" s="27"/>
    </row>
    <row r="58" spans="1:11" outlineLevel="2" x14ac:dyDescent="0.2">
      <c r="A58" s="18" t="s">
        <v>70</v>
      </c>
      <c r="B58" s="19">
        <v>193.8</v>
      </c>
      <c r="C58" s="19">
        <v>161.19999999999999</v>
      </c>
      <c r="D58" s="19">
        <v>203.2</v>
      </c>
      <c r="E58" s="19">
        <v>494.8</v>
      </c>
      <c r="F58" s="19">
        <v>318.5</v>
      </c>
      <c r="G58" s="19">
        <v>281.8</v>
      </c>
      <c r="H58" s="26"/>
      <c r="I58" s="26"/>
      <c r="J58" s="19">
        <v>14.6</v>
      </c>
      <c r="K58" s="26"/>
    </row>
    <row r="59" spans="1:11" outlineLevel="2" x14ac:dyDescent="0.2">
      <c r="A59" s="29" t="s">
        <v>71</v>
      </c>
      <c r="B59" s="21">
        <v>347</v>
      </c>
      <c r="C59" s="21">
        <v>460.6</v>
      </c>
      <c r="D59" s="21">
        <v>427.1</v>
      </c>
      <c r="E59" s="21">
        <v>7575.4</v>
      </c>
      <c r="F59" s="21">
        <v>7638.2</v>
      </c>
      <c r="G59" s="21">
        <v>7050.3</v>
      </c>
      <c r="H59" s="21">
        <v>7200.8</v>
      </c>
      <c r="I59" s="21">
        <v>6890.2</v>
      </c>
      <c r="J59" s="21">
        <v>6490.7</v>
      </c>
      <c r="K59" s="21">
        <v>6619.8</v>
      </c>
    </row>
    <row r="60" spans="1:11" outlineLevel="3" x14ac:dyDescent="0.2">
      <c r="A60" s="24" t="s">
        <v>72</v>
      </c>
      <c r="B60" s="19">
        <v>347</v>
      </c>
      <c r="C60" s="19">
        <v>460.6</v>
      </c>
      <c r="D60" s="19">
        <v>427.1</v>
      </c>
      <c r="E60" s="19">
        <v>799.7</v>
      </c>
      <c r="F60" s="19">
        <v>893.8</v>
      </c>
      <c r="G60" s="19">
        <v>451.8</v>
      </c>
      <c r="H60" s="19">
        <v>737.8</v>
      </c>
      <c r="I60" s="19">
        <v>610.5</v>
      </c>
      <c r="J60" s="19">
        <v>388.9</v>
      </c>
      <c r="K60" s="19">
        <v>656.2</v>
      </c>
    </row>
    <row r="61" spans="1:11" outlineLevel="3" x14ac:dyDescent="0.2">
      <c r="A61" s="23" t="s">
        <v>73</v>
      </c>
      <c r="B61" s="17">
        <v>0</v>
      </c>
      <c r="C61" s="17">
        <v>0</v>
      </c>
      <c r="D61" s="17">
        <v>0</v>
      </c>
      <c r="E61" s="17">
        <v>6775.7</v>
      </c>
      <c r="F61" s="17">
        <v>6744.4</v>
      </c>
      <c r="G61" s="17">
        <v>6598.5</v>
      </c>
      <c r="H61" s="17">
        <v>6463</v>
      </c>
      <c r="I61" s="17">
        <v>6279.7</v>
      </c>
      <c r="J61" s="17">
        <v>6101.8</v>
      </c>
      <c r="K61" s="17">
        <v>5963.6</v>
      </c>
    </row>
    <row r="62" spans="1:11" outlineLevel="2" x14ac:dyDescent="0.2">
      <c r="A62" s="18" t="s">
        <v>74</v>
      </c>
      <c r="B62" s="19">
        <v>6596.5</v>
      </c>
      <c r="C62" s="19">
        <v>8421.7999999999993</v>
      </c>
      <c r="D62" s="19">
        <v>8908.6</v>
      </c>
      <c r="E62" s="19">
        <v>22980.6</v>
      </c>
      <c r="F62" s="19">
        <v>25450.6</v>
      </c>
      <c r="G62" s="19">
        <v>37173.9</v>
      </c>
      <c r="H62" s="19">
        <v>36707.1</v>
      </c>
      <c r="I62" s="19">
        <v>36677.1</v>
      </c>
      <c r="J62" s="19">
        <v>37433.300000000003</v>
      </c>
      <c r="K62" s="19">
        <v>38780.9</v>
      </c>
    </row>
    <row r="63" spans="1:11" outlineLevel="1" x14ac:dyDescent="0.2">
      <c r="A63" s="20" t="s">
        <v>75</v>
      </c>
      <c r="B63" s="13"/>
      <c r="C63" s="13"/>
      <c r="D63" s="13"/>
      <c r="E63" s="13"/>
      <c r="F63" s="13"/>
      <c r="G63" s="13"/>
      <c r="H63" s="13"/>
      <c r="I63" s="13"/>
      <c r="J63" s="13"/>
      <c r="K63" s="13"/>
    </row>
    <row r="64" spans="1:11" outlineLevel="2" x14ac:dyDescent="0.2">
      <c r="A64" s="22" t="s">
        <v>76</v>
      </c>
      <c r="B64" s="15">
        <v>5818</v>
      </c>
      <c r="C64" s="15">
        <v>5884</v>
      </c>
      <c r="D64" s="15">
        <v>5450.1</v>
      </c>
      <c r="E64" s="15">
        <v>1169.5</v>
      </c>
      <c r="F64" s="15">
        <v>-6232.2</v>
      </c>
      <c r="G64" s="15">
        <v>-7805.1</v>
      </c>
      <c r="H64" s="15">
        <v>-5321.2</v>
      </c>
      <c r="I64" s="15">
        <v>-8706.6</v>
      </c>
      <c r="J64" s="15">
        <v>-7994.8</v>
      </c>
      <c r="K64" s="15">
        <v>-7448.9</v>
      </c>
    </row>
    <row r="65" spans="1:11" outlineLevel="3" x14ac:dyDescent="0.2">
      <c r="A65" s="23" t="s">
        <v>77</v>
      </c>
      <c r="B65" s="17">
        <v>1.5</v>
      </c>
      <c r="C65" s="17">
        <v>1.5</v>
      </c>
      <c r="D65" s="17">
        <v>1.4</v>
      </c>
      <c r="E65" s="17">
        <v>1.3</v>
      </c>
      <c r="F65" s="17">
        <v>1.2</v>
      </c>
      <c r="G65" s="17">
        <v>1.2</v>
      </c>
      <c r="H65" s="17">
        <v>1.2</v>
      </c>
      <c r="I65" s="17">
        <v>1.1000000000000001</v>
      </c>
      <c r="J65" s="17">
        <v>1.1000000000000001</v>
      </c>
      <c r="K65" s="17">
        <v>1.1000000000000001</v>
      </c>
    </row>
    <row r="66" spans="1:11" outlineLevel="3" x14ac:dyDescent="0.2">
      <c r="A66" s="24" t="s">
        <v>78</v>
      </c>
      <c r="B66" s="19">
        <v>41.1</v>
      </c>
      <c r="C66" s="19">
        <v>41.1</v>
      </c>
      <c r="D66" s="19">
        <v>41.1</v>
      </c>
      <c r="E66" s="19">
        <v>41.1</v>
      </c>
      <c r="F66" s="19">
        <v>41.1</v>
      </c>
      <c r="G66" s="19">
        <v>373.9</v>
      </c>
      <c r="H66" s="19">
        <v>846.1</v>
      </c>
      <c r="I66" s="19">
        <v>205.3</v>
      </c>
      <c r="J66" s="19">
        <v>38.1</v>
      </c>
      <c r="K66" s="19">
        <v>322.60000000000002</v>
      </c>
    </row>
    <row r="67" spans="1:11" outlineLevel="3" x14ac:dyDescent="0.2">
      <c r="A67" s="23" t="s">
        <v>79</v>
      </c>
      <c r="B67" s="17">
        <v>5974.8</v>
      </c>
      <c r="C67" s="17">
        <v>5949.8</v>
      </c>
      <c r="D67" s="17">
        <v>5563.2</v>
      </c>
      <c r="E67" s="17">
        <v>1457.4</v>
      </c>
      <c r="F67" s="32">
        <v>-5771.2</v>
      </c>
      <c r="G67" s="32">
        <v>-7815.6</v>
      </c>
      <c r="H67" s="32">
        <v>-6315.7</v>
      </c>
      <c r="I67" s="32">
        <v>-8449.7999999999993</v>
      </c>
      <c r="J67" s="32">
        <v>-7255.8</v>
      </c>
      <c r="K67" s="32">
        <v>-7343.8</v>
      </c>
    </row>
    <row r="68" spans="1:11" outlineLevel="3" x14ac:dyDescent="0.2">
      <c r="A68" s="24" t="s">
        <v>80</v>
      </c>
      <c r="B68" s="25">
        <v>-226.2</v>
      </c>
      <c r="C68" s="25">
        <v>-121.7</v>
      </c>
      <c r="D68" s="25">
        <v>-163</v>
      </c>
      <c r="E68" s="25">
        <v>-362.7</v>
      </c>
      <c r="F68" s="25">
        <v>-508.1</v>
      </c>
      <c r="G68" s="25">
        <v>-299.7</v>
      </c>
      <c r="H68" s="25">
        <v>-61.2</v>
      </c>
      <c r="I68" s="25">
        <v>-855.8</v>
      </c>
      <c r="J68" s="25">
        <v>-961.7</v>
      </c>
      <c r="K68" s="26"/>
    </row>
    <row r="69" spans="1:11" outlineLevel="3" x14ac:dyDescent="0.2">
      <c r="A69" s="23" t="s">
        <v>81</v>
      </c>
      <c r="B69" s="32">
        <v>-0.1</v>
      </c>
      <c r="C69" s="17">
        <v>1.1000000000000001</v>
      </c>
      <c r="D69" s="32">
        <v>-2.5</v>
      </c>
      <c r="E69" s="32">
        <v>-4.9000000000000004</v>
      </c>
      <c r="F69" s="17">
        <v>3.9</v>
      </c>
      <c r="G69" s="17">
        <v>5.7</v>
      </c>
      <c r="H69" s="17">
        <v>1.5</v>
      </c>
      <c r="I69" s="32">
        <v>-15.5</v>
      </c>
      <c r="J69" s="32">
        <v>-12.3</v>
      </c>
      <c r="K69" s="27"/>
    </row>
    <row r="70" spans="1:11" outlineLevel="3" x14ac:dyDescent="0.2">
      <c r="A70" s="24" t="s">
        <v>82</v>
      </c>
      <c r="B70" s="19">
        <v>26.9</v>
      </c>
      <c r="C70" s="19">
        <v>12.2</v>
      </c>
      <c r="D70" s="19">
        <v>9.9</v>
      </c>
      <c r="E70" s="19">
        <v>37.299999999999997</v>
      </c>
      <c r="F70" s="19">
        <v>0.9</v>
      </c>
      <c r="G70" s="25">
        <v>-70.599999999999994</v>
      </c>
      <c r="H70" s="19">
        <v>206.9</v>
      </c>
      <c r="I70" s="19">
        <v>408.1</v>
      </c>
      <c r="J70" s="19">
        <v>195.8</v>
      </c>
      <c r="K70" s="25">
        <v>-428.8</v>
      </c>
    </row>
    <row r="71" spans="1:11" outlineLevel="2" x14ac:dyDescent="0.2">
      <c r="A71" s="16" t="s">
        <v>83</v>
      </c>
      <c r="B71" s="17">
        <v>5818</v>
      </c>
      <c r="C71" s="17">
        <v>5884</v>
      </c>
      <c r="D71" s="17">
        <v>5450.1</v>
      </c>
      <c r="E71" s="17">
        <v>1169.5</v>
      </c>
      <c r="F71" s="32">
        <v>-6232.2</v>
      </c>
      <c r="G71" s="32">
        <v>-7805.1</v>
      </c>
      <c r="H71" s="32">
        <v>-5321.2</v>
      </c>
      <c r="I71" s="32">
        <v>-8706.6</v>
      </c>
      <c r="J71" s="32">
        <v>-7994.8</v>
      </c>
      <c r="K71" s="32">
        <v>-7448.9</v>
      </c>
    </row>
    <row r="72" spans="1:11" outlineLevel="2" x14ac:dyDescent="0.2">
      <c r="A72" s="18" t="s">
        <v>84</v>
      </c>
      <c r="B72" s="19">
        <v>1.8</v>
      </c>
      <c r="C72" s="19">
        <v>6.7</v>
      </c>
      <c r="D72" s="19">
        <v>6.9</v>
      </c>
      <c r="E72" s="19">
        <v>6.3</v>
      </c>
      <c r="F72" s="19">
        <v>1.2</v>
      </c>
      <c r="G72" s="19">
        <v>5.7</v>
      </c>
      <c r="H72" s="19">
        <v>6.7</v>
      </c>
      <c r="I72" s="19">
        <v>7.9</v>
      </c>
      <c r="J72" s="19">
        <v>7</v>
      </c>
      <c r="K72" s="19">
        <v>7.3</v>
      </c>
    </row>
    <row r="73" spans="1:11" outlineLevel="2" x14ac:dyDescent="0.2">
      <c r="A73" s="16" t="s">
        <v>85</v>
      </c>
      <c r="B73" s="17">
        <v>5819.8</v>
      </c>
      <c r="C73" s="17">
        <v>5890.7</v>
      </c>
      <c r="D73" s="17">
        <v>5457</v>
      </c>
      <c r="E73" s="17">
        <v>1175.8</v>
      </c>
      <c r="F73" s="32">
        <v>-6231</v>
      </c>
      <c r="G73" s="32">
        <v>-7799.4</v>
      </c>
      <c r="H73" s="32">
        <v>-5314.5</v>
      </c>
      <c r="I73" s="32">
        <v>-8698.7000000000007</v>
      </c>
      <c r="J73" s="32">
        <v>-7987.8</v>
      </c>
      <c r="K73" s="32">
        <v>-7441.6</v>
      </c>
    </row>
    <row r="74" spans="1:11" outlineLevel="1" x14ac:dyDescent="0.2">
      <c r="A74" s="30" t="s">
        <v>86</v>
      </c>
      <c r="B74" s="19">
        <v>12416.3</v>
      </c>
      <c r="C74" s="19">
        <v>14312.5</v>
      </c>
      <c r="D74" s="19">
        <v>14365.6</v>
      </c>
      <c r="E74" s="19">
        <v>24156.400000000001</v>
      </c>
      <c r="F74" s="19">
        <v>19219.599999999999</v>
      </c>
      <c r="G74" s="19">
        <v>29374.5</v>
      </c>
      <c r="H74" s="19">
        <v>31392.6</v>
      </c>
      <c r="I74" s="19">
        <v>27978.400000000001</v>
      </c>
      <c r="J74" s="19">
        <v>29445.5</v>
      </c>
      <c r="K74" s="19">
        <v>31339.3</v>
      </c>
    </row>
    <row r="75" spans="1:11" x14ac:dyDescent="0.2">
      <c r="A75" s="13" t="s">
        <v>87</v>
      </c>
      <c r="B75" s="13"/>
      <c r="C75" s="13"/>
      <c r="D75" s="13"/>
      <c r="E75" s="13"/>
      <c r="F75" s="13"/>
      <c r="G75" s="13"/>
      <c r="H75" s="13"/>
      <c r="I75" s="13"/>
      <c r="J75" s="13"/>
      <c r="K75" s="13"/>
    </row>
    <row r="76" spans="1:11" outlineLevel="1" x14ac:dyDescent="0.2">
      <c r="A76" s="30" t="s">
        <v>88</v>
      </c>
      <c r="B76" s="33">
        <v>3.9175800000000001</v>
      </c>
      <c r="C76" s="33">
        <v>4.0287600000000001</v>
      </c>
      <c r="D76" s="33">
        <v>3.8069999999999999</v>
      </c>
      <c r="E76" s="33">
        <v>0.89336000000000004</v>
      </c>
      <c r="F76" s="34">
        <v>-5.2610200000000003</v>
      </c>
      <c r="G76" s="34">
        <v>-6.6522600000000001</v>
      </c>
      <c r="H76" s="34">
        <v>-4.5094900000000004</v>
      </c>
      <c r="I76" s="34">
        <v>-7.5848100000000001</v>
      </c>
      <c r="J76" s="34">
        <v>-6.99702</v>
      </c>
      <c r="K76" s="34">
        <v>-6.5715899999999996</v>
      </c>
    </row>
    <row r="77" spans="1:11" outlineLevel="1" x14ac:dyDescent="0.2">
      <c r="A77" s="28" t="s">
        <v>89</v>
      </c>
      <c r="B77" s="35">
        <v>2.5063629999999999</v>
      </c>
      <c r="C77" s="35">
        <v>2.497843</v>
      </c>
      <c r="D77" s="35">
        <v>2.4235120000000001</v>
      </c>
      <c r="E77" s="36">
        <v>-2.6081279999999998</v>
      </c>
      <c r="F77" s="36">
        <v>-8.8678030000000003</v>
      </c>
      <c r="G77" s="36">
        <v>-10.188699</v>
      </c>
      <c r="H77" s="36">
        <v>-7.9223730000000003</v>
      </c>
      <c r="I77" s="36">
        <v>-10.581061</v>
      </c>
      <c r="J77" s="36">
        <v>-9.9191319999999994</v>
      </c>
      <c r="K77" s="36">
        <v>-9.5857960000000002</v>
      </c>
    </row>
    <row r="78" spans="1:11" x14ac:dyDescent="0.2">
      <c r="A78" s="37" t="s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38E5-FFD8-214F-AB4C-B9F79EE9463F}">
  <dimension ref="A1:L62"/>
  <sheetViews>
    <sheetView topLeftCell="A37" zoomScale="107" workbookViewId="0">
      <selection activeCell="L24" sqref="L24"/>
    </sheetView>
  </sheetViews>
  <sheetFormatPr baseColWidth="10" defaultColWidth="9.1640625" defaultRowHeight="15" customHeight="1" outlineLevelRow="3" x14ac:dyDescent="0.2"/>
  <cols>
    <col min="1" max="1" width="53.33203125" customWidth="1"/>
    <col min="2" max="10" width="8.5" customWidth="1"/>
    <col min="11" max="11" width="11.83203125" customWidth="1"/>
  </cols>
  <sheetData>
    <row r="1" spans="1:11" ht="16" x14ac:dyDescent="0.2">
      <c r="A1" s="9" t="s">
        <v>4</v>
      </c>
    </row>
    <row r="2" spans="1:11" ht="16" x14ac:dyDescent="0.2">
      <c r="A2" s="10" t="s">
        <v>91</v>
      </c>
    </row>
    <row r="3" spans="1:11" ht="16" x14ac:dyDescent="0.2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6" x14ac:dyDescent="0.2"/>
    <row r="5" spans="1:11" ht="16" x14ac:dyDescent="0.2">
      <c r="A5" s="12" t="s">
        <v>6</v>
      </c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1" ht="16" x14ac:dyDescent="0.2">
      <c r="A6" s="12" t="s">
        <v>7</v>
      </c>
      <c r="B6" s="12"/>
      <c r="C6" s="12"/>
      <c r="D6" s="12"/>
      <c r="E6" s="12"/>
      <c r="F6" s="12"/>
      <c r="G6" s="12"/>
      <c r="H6" s="12"/>
      <c r="I6" s="12"/>
      <c r="J6" s="12"/>
      <c r="K6" s="12"/>
    </row>
    <row r="7" spans="1:11" ht="16" x14ac:dyDescent="0.2">
      <c r="A7" s="12" t="s">
        <v>8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11" ht="16" x14ac:dyDescent="0.2">
      <c r="A8" s="12"/>
      <c r="B8" s="12" t="s">
        <v>9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</row>
    <row r="9" spans="1:11" ht="16" x14ac:dyDescent="0.2">
      <c r="A9" s="12"/>
      <c r="B9" s="12" t="s">
        <v>19</v>
      </c>
      <c r="C9" s="12" t="s">
        <v>19</v>
      </c>
      <c r="D9" s="12"/>
      <c r="E9" s="12"/>
      <c r="F9" s="12"/>
      <c r="G9" s="12"/>
      <c r="H9" s="12"/>
      <c r="I9" s="12"/>
      <c r="J9" s="12"/>
      <c r="K9" s="12" t="s">
        <v>20</v>
      </c>
    </row>
    <row r="10" spans="1:11" ht="16" x14ac:dyDescent="0.2">
      <c r="A10" s="13" t="s">
        <v>92</v>
      </c>
      <c r="B10" s="21">
        <v>19148.7</v>
      </c>
      <c r="C10" s="21">
        <v>21311</v>
      </c>
      <c r="D10" s="21">
        <v>22383.8</v>
      </c>
      <c r="E10" s="21">
        <v>24719.9</v>
      </c>
      <c r="F10" s="21">
        <v>26501.599999999999</v>
      </c>
      <c r="G10" s="21">
        <v>23512.5</v>
      </c>
      <c r="H10" s="21">
        <v>29058.799999999999</v>
      </c>
      <c r="I10" s="21">
        <v>32228.3</v>
      </c>
      <c r="J10" s="21">
        <v>35952</v>
      </c>
      <c r="K10" s="21">
        <v>36176.199999999997</v>
      </c>
    </row>
    <row r="11" spans="1:11" ht="16" outlineLevel="1" x14ac:dyDescent="0.2">
      <c r="A11" s="14" t="s">
        <v>93</v>
      </c>
      <c r="B11" s="15">
        <v>14585.2</v>
      </c>
      <c r="C11" s="15">
        <v>16041</v>
      </c>
      <c r="D11" s="15">
        <v>17039.3</v>
      </c>
      <c r="E11" s="15">
        <v>19104.8</v>
      </c>
      <c r="F11" s="15">
        <v>20772.900000000001</v>
      </c>
      <c r="G11" s="15">
        <v>20316.3</v>
      </c>
      <c r="H11" s="15">
        <v>22461.7</v>
      </c>
      <c r="I11" s="15">
        <v>25919</v>
      </c>
      <c r="J11" s="15">
        <v>28136.3</v>
      </c>
      <c r="K11" s="15">
        <v>28545.3</v>
      </c>
    </row>
    <row r="12" spans="1:11" ht="16" outlineLevel="2" x14ac:dyDescent="0.2">
      <c r="A12" s="16" t="s">
        <v>94</v>
      </c>
      <c r="B12" s="17">
        <v>13651.4</v>
      </c>
      <c r="C12" s="17">
        <v>15010.9</v>
      </c>
      <c r="D12" s="17">
        <v>15972.2</v>
      </c>
      <c r="E12" s="17">
        <v>17798.900000000001</v>
      </c>
      <c r="F12" s="17">
        <v>19323.599999999999</v>
      </c>
      <c r="G12" s="17">
        <v>17615.5</v>
      </c>
      <c r="H12" s="17">
        <v>19689</v>
      </c>
      <c r="I12" s="17">
        <v>22891.9</v>
      </c>
      <c r="J12" s="17">
        <v>26686</v>
      </c>
      <c r="K12" s="17">
        <v>25717.8</v>
      </c>
    </row>
    <row r="13" spans="1:11" ht="16" outlineLevel="2" x14ac:dyDescent="0.2">
      <c r="A13" s="22" t="s">
        <v>95</v>
      </c>
      <c r="B13" s="15">
        <v>933.8</v>
      </c>
      <c r="C13" s="15">
        <v>1030.0999999999999</v>
      </c>
      <c r="D13" s="15">
        <v>1067.0999999999999</v>
      </c>
      <c r="E13" s="15">
        <v>1305.9000000000001</v>
      </c>
      <c r="F13" s="15">
        <v>1449.3</v>
      </c>
      <c r="G13" s="15">
        <v>2700.8</v>
      </c>
      <c r="H13" s="15">
        <v>2772.7</v>
      </c>
      <c r="I13" s="15">
        <v>3027.1</v>
      </c>
      <c r="J13" s="15">
        <v>1450.3</v>
      </c>
      <c r="K13" s="15">
        <v>2827.5</v>
      </c>
    </row>
    <row r="14" spans="1:11" ht="16" outlineLevel="3" x14ac:dyDescent="0.2">
      <c r="A14" s="23" t="s">
        <v>96</v>
      </c>
      <c r="B14" s="17">
        <v>883.8</v>
      </c>
      <c r="C14" s="17">
        <v>972.8</v>
      </c>
      <c r="D14" s="17">
        <v>1009.6</v>
      </c>
      <c r="E14" s="17">
        <v>1119.4000000000001</v>
      </c>
      <c r="F14" s="17">
        <v>1216.5</v>
      </c>
      <c r="G14" s="17">
        <v>2477.1</v>
      </c>
      <c r="H14" s="17">
        <v>2549.3000000000002</v>
      </c>
      <c r="I14" s="17">
        <v>2834.4</v>
      </c>
      <c r="J14" s="17">
        <v>1428.8</v>
      </c>
      <c r="K14" s="27"/>
    </row>
    <row r="15" spans="1:11" ht="16" outlineLevel="3" x14ac:dyDescent="0.2">
      <c r="A15" s="24" t="s">
        <v>97</v>
      </c>
      <c r="B15" s="19">
        <v>50</v>
      </c>
      <c r="C15" s="19">
        <v>57.3</v>
      </c>
      <c r="D15" s="19">
        <v>57.5</v>
      </c>
      <c r="E15" s="19">
        <v>186.5</v>
      </c>
      <c r="F15" s="19">
        <v>232.8</v>
      </c>
      <c r="G15" s="19">
        <v>223.7</v>
      </c>
      <c r="H15" s="19">
        <v>223.4</v>
      </c>
      <c r="I15" s="19">
        <v>192.7</v>
      </c>
      <c r="J15" s="19">
        <v>21.5</v>
      </c>
      <c r="K15" s="26"/>
    </row>
    <row r="16" spans="1:11" ht="16" x14ac:dyDescent="0.2">
      <c r="A16" s="13" t="s">
        <v>98</v>
      </c>
      <c r="B16" s="21">
        <v>4563.5</v>
      </c>
      <c r="C16" s="21">
        <v>5270</v>
      </c>
      <c r="D16" s="21">
        <v>5344.5</v>
      </c>
      <c r="E16" s="21">
        <v>5615.1</v>
      </c>
      <c r="F16" s="21">
        <v>5728.7</v>
      </c>
      <c r="G16" s="21">
        <v>3196.2</v>
      </c>
      <c r="H16" s="21">
        <v>6597.1</v>
      </c>
      <c r="I16" s="21">
        <v>6309.3</v>
      </c>
      <c r="J16" s="21">
        <v>7815.7</v>
      </c>
      <c r="K16" s="21">
        <v>7630.9</v>
      </c>
    </row>
    <row r="17" spans="1:12" ht="16" outlineLevel="1" x14ac:dyDescent="0.2">
      <c r="A17" s="14" t="s">
        <v>99</v>
      </c>
      <c r="B17" s="15">
        <v>1196.7</v>
      </c>
      <c r="C17" s="15">
        <v>1360.6</v>
      </c>
      <c r="D17" s="15">
        <v>1393.3</v>
      </c>
      <c r="E17" s="15">
        <v>1755.4</v>
      </c>
      <c r="F17" s="15">
        <v>1824.1</v>
      </c>
      <c r="G17" s="15">
        <v>1679.6</v>
      </c>
      <c r="H17" s="15">
        <v>1932.6</v>
      </c>
      <c r="I17" s="15">
        <v>2032</v>
      </c>
      <c r="J17" s="15">
        <v>2441.3000000000002</v>
      </c>
      <c r="K17" s="15">
        <v>2523.3000000000002</v>
      </c>
    </row>
    <row r="18" spans="1:12" ht="16" outlineLevel="2" x14ac:dyDescent="0.2">
      <c r="A18" s="16" t="s">
        <v>100</v>
      </c>
      <c r="B18" s="17">
        <v>1196.7</v>
      </c>
      <c r="C18" s="17">
        <v>1360.6</v>
      </c>
      <c r="D18" s="17">
        <v>1393.3</v>
      </c>
      <c r="E18" s="17">
        <v>1755.4</v>
      </c>
      <c r="F18" s="17">
        <v>1824.1</v>
      </c>
      <c r="G18" s="17">
        <v>1679.6</v>
      </c>
      <c r="H18" s="17">
        <v>1932.6</v>
      </c>
      <c r="I18" s="17">
        <v>2032</v>
      </c>
      <c r="J18" s="17">
        <v>2441.3000000000002</v>
      </c>
      <c r="K18" s="17">
        <v>2523.3000000000002</v>
      </c>
    </row>
    <row r="19" spans="1:12" ht="16" x14ac:dyDescent="0.2">
      <c r="A19" s="31" t="s">
        <v>101</v>
      </c>
      <c r="B19" s="15">
        <v>3366.8</v>
      </c>
      <c r="C19" s="15">
        <v>3909.4</v>
      </c>
      <c r="D19" s="15">
        <v>3951.2</v>
      </c>
      <c r="E19" s="15">
        <v>3859.7</v>
      </c>
      <c r="F19" s="15">
        <v>3904.6</v>
      </c>
      <c r="G19" s="15">
        <v>1516.6</v>
      </c>
      <c r="H19" s="15">
        <v>4664.5</v>
      </c>
      <c r="I19" s="15">
        <v>4277.3</v>
      </c>
      <c r="J19" s="15">
        <v>5374.4</v>
      </c>
      <c r="K19" s="15">
        <v>5107.6000000000004</v>
      </c>
    </row>
    <row r="20" spans="1:12" ht="16" outlineLevel="1" x14ac:dyDescent="0.2">
      <c r="A20" s="20" t="s">
        <v>102</v>
      </c>
      <c r="B20" s="21">
        <v>296.39999999999998</v>
      </c>
      <c r="C20" s="21">
        <v>407.4</v>
      </c>
      <c r="D20" s="21">
        <v>622.1</v>
      </c>
      <c r="E20" s="21">
        <v>1025.5</v>
      </c>
      <c r="F20" s="21">
        <v>1049.0999999999999</v>
      </c>
      <c r="G20" s="21">
        <v>387.6</v>
      </c>
      <c r="H20" s="21">
        <v>1336</v>
      </c>
      <c r="I20" s="21">
        <v>429</v>
      </c>
      <c r="J20" s="21">
        <v>642.4</v>
      </c>
      <c r="K20" s="21">
        <v>424</v>
      </c>
    </row>
    <row r="21" spans="1:12" ht="16" outlineLevel="2" x14ac:dyDescent="0.2">
      <c r="A21" s="18" t="s">
        <v>103</v>
      </c>
      <c r="B21" s="19">
        <v>0</v>
      </c>
      <c r="C21" s="19">
        <v>215.3</v>
      </c>
      <c r="D21" s="19">
        <v>126.5</v>
      </c>
      <c r="E21" s="19">
        <v>259.89999999999998</v>
      </c>
      <c r="F21" s="19">
        <v>132.19999999999999</v>
      </c>
      <c r="G21" s="19">
        <v>49.9</v>
      </c>
      <c r="H21" s="19">
        <v>70.900000000000006</v>
      </c>
      <c r="I21" s="19">
        <v>0</v>
      </c>
      <c r="J21" s="19">
        <v>0</v>
      </c>
      <c r="K21" s="19">
        <v>122.8</v>
      </c>
    </row>
    <row r="22" spans="1:12" ht="16" outlineLevel="2" x14ac:dyDescent="0.2">
      <c r="A22" s="16" t="s">
        <v>104</v>
      </c>
      <c r="B22" s="17">
        <v>249.9</v>
      </c>
      <c r="C22" s="17">
        <v>318.2</v>
      </c>
      <c r="D22" s="17">
        <v>391.4</v>
      </c>
      <c r="E22" s="17">
        <v>301.2</v>
      </c>
      <c r="F22" s="17">
        <v>298</v>
      </c>
      <c r="G22" s="17">
        <v>322.5</v>
      </c>
      <c r="H22" s="17">
        <v>385.3</v>
      </c>
      <c r="I22" s="17">
        <v>234.1</v>
      </c>
      <c r="J22" s="17">
        <v>298.39999999999998</v>
      </c>
      <c r="K22" s="17">
        <v>301.2</v>
      </c>
    </row>
    <row r="23" spans="1:12" ht="16" outlineLevel="2" x14ac:dyDescent="0.2">
      <c r="A23" s="18" t="s">
        <v>105</v>
      </c>
      <c r="B23" s="19">
        <v>46.5</v>
      </c>
      <c r="C23" s="25">
        <v>-126.1</v>
      </c>
      <c r="D23" s="19">
        <v>104.2</v>
      </c>
      <c r="E23" s="19">
        <v>464.4</v>
      </c>
      <c r="F23" s="19">
        <v>618.9</v>
      </c>
      <c r="G23" s="19">
        <v>15.2</v>
      </c>
      <c r="H23" s="19">
        <v>879.8</v>
      </c>
      <c r="I23" s="19">
        <v>194.9</v>
      </c>
      <c r="J23" s="19">
        <v>344</v>
      </c>
      <c r="K23" s="19">
        <v>0</v>
      </c>
    </row>
    <row r="24" spans="1:12" ht="16" outlineLevel="1" x14ac:dyDescent="0.2">
      <c r="A24" s="20" t="s">
        <v>106</v>
      </c>
      <c r="B24" s="21">
        <v>73.7</v>
      </c>
      <c r="C24" s="21">
        <v>86.3</v>
      </c>
      <c r="D24" s="21">
        <v>97.3</v>
      </c>
      <c r="E24" s="21">
        <v>175.2</v>
      </c>
      <c r="F24" s="21">
        <v>339.8</v>
      </c>
      <c r="G24" s="21">
        <v>457.5</v>
      </c>
      <c r="H24" s="21">
        <v>496.8</v>
      </c>
      <c r="I24" s="21">
        <v>497.2</v>
      </c>
      <c r="J24" s="21">
        <v>551</v>
      </c>
      <c r="K24" s="21">
        <v>562</v>
      </c>
      <c r="L24" s="109">
        <f>K24/BS!K54</f>
        <v>2.4338381454326562E-2</v>
      </c>
    </row>
    <row r="25" spans="1:12" ht="16" outlineLevel="2" x14ac:dyDescent="0.2">
      <c r="A25" s="18" t="s">
        <v>107</v>
      </c>
      <c r="B25" s="19">
        <v>77.3</v>
      </c>
      <c r="C25" s="19">
        <v>86.3</v>
      </c>
      <c r="D25" s="19">
        <v>97.3</v>
      </c>
      <c r="E25" s="19">
        <v>175.2</v>
      </c>
      <c r="F25" s="19">
        <v>339.8</v>
      </c>
      <c r="G25" s="19">
        <v>457.5</v>
      </c>
      <c r="H25" s="19">
        <v>496.8</v>
      </c>
      <c r="I25" s="19">
        <v>497.2</v>
      </c>
      <c r="J25" s="19">
        <v>551</v>
      </c>
      <c r="K25" s="19">
        <v>562</v>
      </c>
    </row>
    <row r="26" spans="1:12" ht="16" outlineLevel="2" x14ac:dyDescent="0.2">
      <c r="A26" s="16" t="s">
        <v>108</v>
      </c>
      <c r="B26" s="17">
        <v>3.6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27"/>
    </row>
    <row r="27" spans="1:12" ht="16" outlineLevel="1" x14ac:dyDescent="0.2">
      <c r="A27" s="14" t="s">
        <v>109</v>
      </c>
      <c r="B27" s="15">
        <v>-313.5</v>
      </c>
      <c r="C27" s="15">
        <v>31.9</v>
      </c>
      <c r="D27" s="15">
        <v>158.5</v>
      </c>
      <c r="E27" s="15">
        <v>-1070</v>
      </c>
      <c r="F27" s="15">
        <v>147.69999999999999</v>
      </c>
      <c r="G27" s="15">
        <v>282.3</v>
      </c>
      <c r="H27" s="15">
        <v>146.80000000000001</v>
      </c>
      <c r="I27" s="15">
        <v>-22.8</v>
      </c>
      <c r="J27" s="15">
        <v>63.9</v>
      </c>
      <c r="K27" s="15">
        <v>0</v>
      </c>
    </row>
    <row r="28" spans="1:12" ht="16" outlineLevel="2" x14ac:dyDescent="0.2">
      <c r="A28" s="29" t="s">
        <v>110</v>
      </c>
      <c r="B28" s="21">
        <v>25.8</v>
      </c>
      <c r="C28" s="21">
        <v>24.1</v>
      </c>
      <c r="D28" s="21">
        <v>16.2</v>
      </c>
      <c r="E28" s="21">
        <v>43.4</v>
      </c>
      <c r="F28" s="13"/>
      <c r="G28" s="13"/>
      <c r="H28" s="13"/>
      <c r="I28" s="13"/>
      <c r="J28" s="13"/>
      <c r="K28" s="13"/>
    </row>
    <row r="29" spans="1:12" ht="16" outlineLevel="3" x14ac:dyDescent="0.2">
      <c r="A29" s="24" t="s">
        <v>49</v>
      </c>
      <c r="B29" s="19">
        <v>0</v>
      </c>
      <c r="C29" s="19">
        <v>0</v>
      </c>
      <c r="D29" s="19">
        <v>0</v>
      </c>
      <c r="E29" s="19">
        <v>37.6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26"/>
    </row>
    <row r="30" spans="1:12" ht="16" outlineLevel="3" x14ac:dyDescent="0.2">
      <c r="A30" s="23" t="s">
        <v>111</v>
      </c>
      <c r="B30" s="17">
        <v>25.8</v>
      </c>
      <c r="C30" s="17">
        <v>24.1</v>
      </c>
      <c r="D30" s="17">
        <v>16.2</v>
      </c>
      <c r="E30" s="17">
        <v>5.8</v>
      </c>
      <c r="F30" s="27"/>
      <c r="G30" s="27"/>
      <c r="H30" s="27"/>
      <c r="I30" s="27"/>
      <c r="J30" s="27"/>
      <c r="K30" s="27"/>
    </row>
    <row r="31" spans="1:12" ht="16" outlineLevel="2" x14ac:dyDescent="0.2">
      <c r="A31" s="18" t="s">
        <v>112</v>
      </c>
      <c r="B31" s="19">
        <v>0</v>
      </c>
      <c r="C31" s="19">
        <v>0</v>
      </c>
      <c r="D31" s="19">
        <v>153.5</v>
      </c>
      <c r="E31" s="19">
        <v>228</v>
      </c>
      <c r="F31" s="19">
        <v>135.80000000000001</v>
      </c>
      <c r="G31" s="19">
        <v>278.7</v>
      </c>
      <c r="H31" s="19">
        <v>170.4</v>
      </c>
      <c r="I31" s="19">
        <v>46</v>
      </c>
      <c r="J31" s="19">
        <v>21.8</v>
      </c>
      <c r="K31" s="19">
        <v>0</v>
      </c>
    </row>
    <row r="32" spans="1:12" ht="16" outlineLevel="2" x14ac:dyDescent="0.2">
      <c r="A32" s="29" t="s">
        <v>113</v>
      </c>
      <c r="B32" s="21">
        <v>400.4</v>
      </c>
      <c r="C32" s="21">
        <v>-7.8</v>
      </c>
      <c r="D32" s="21">
        <v>11.2</v>
      </c>
      <c r="E32" s="21">
        <v>1341.4</v>
      </c>
      <c r="F32" s="21">
        <v>-11.9</v>
      </c>
      <c r="G32" s="21">
        <v>-3.6</v>
      </c>
      <c r="H32" s="21">
        <v>23.6</v>
      </c>
      <c r="I32" s="21">
        <v>68.8</v>
      </c>
      <c r="J32" s="21">
        <v>-42.1</v>
      </c>
      <c r="K32" s="13"/>
    </row>
    <row r="33" spans="1:11" ht="16" outlineLevel="3" x14ac:dyDescent="0.2">
      <c r="A33" s="24" t="s">
        <v>114</v>
      </c>
      <c r="B33" s="19">
        <v>386.1</v>
      </c>
      <c r="C33" s="19">
        <v>3.6</v>
      </c>
      <c r="D33" s="19">
        <v>10.5</v>
      </c>
      <c r="E33" s="19">
        <v>1369.2</v>
      </c>
      <c r="F33" s="19">
        <v>0</v>
      </c>
      <c r="G33" s="19">
        <v>0</v>
      </c>
      <c r="H33" s="26"/>
      <c r="I33" s="26"/>
      <c r="J33" s="26"/>
      <c r="K33" s="26"/>
    </row>
    <row r="34" spans="1:11" ht="16" outlineLevel="3" x14ac:dyDescent="0.2">
      <c r="A34" s="23" t="s">
        <v>115</v>
      </c>
      <c r="B34" s="17">
        <v>14.3</v>
      </c>
      <c r="C34" s="32">
        <v>-11.4</v>
      </c>
      <c r="D34" s="17">
        <v>0.7</v>
      </c>
      <c r="E34" s="32">
        <v>-27.8</v>
      </c>
      <c r="F34" s="32">
        <v>-11.9</v>
      </c>
      <c r="G34" s="32">
        <v>-3.6</v>
      </c>
      <c r="H34" s="17">
        <v>23.6</v>
      </c>
      <c r="I34" s="17">
        <v>68.8</v>
      </c>
      <c r="J34" s="32">
        <v>-42.1</v>
      </c>
      <c r="K34" s="27"/>
    </row>
    <row r="35" spans="1:11" ht="16" outlineLevel="2" x14ac:dyDescent="0.2">
      <c r="A35" s="22" t="s">
        <v>116</v>
      </c>
      <c r="B35" s="15">
        <v>61.1</v>
      </c>
      <c r="C35" s="15">
        <v>0</v>
      </c>
      <c r="D35" s="15">
        <v>0</v>
      </c>
      <c r="E35" s="31"/>
      <c r="F35" s="31"/>
      <c r="G35" s="31"/>
      <c r="H35" s="31"/>
      <c r="I35" s="31"/>
      <c r="J35" s="31"/>
      <c r="K35" s="31"/>
    </row>
    <row r="36" spans="1:11" ht="16" outlineLevel="3" x14ac:dyDescent="0.2">
      <c r="A36" s="23" t="s">
        <v>117</v>
      </c>
      <c r="B36" s="17">
        <v>61.1</v>
      </c>
      <c r="C36" s="17">
        <v>0</v>
      </c>
      <c r="D36" s="17">
        <v>0</v>
      </c>
      <c r="E36" s="27"/>
      <c r="F36" s="27"/>
      <c r="G36" s="27"/>
      <c r="H36" s="27"/>
      <c r="I36" s="27"/>
      <c r="J36" s="27"/>
      <c r="K36" s="27"/>
    </row>
    <row r="37" spans="1:11" ht="16" x14ac:dyDescent="0.2">
      <c r="A37" s="31" t="s">
        <v>118</v>
      </c>
      <c r="B37" s="15">
        <v>3903</v>
      </c>
      <c r="C37" s="15">
        <v>4198.6000000000004</v>
      </c>
      <c r="D37" s="15">
        <v>4317.5</v>
      </c>
      <c r="E37" s="15">
        <v>5780</v>
      </c>
      <c r="F37" s="15">
        <v>4466.2</v>
      </c>
      <c r="G37" s="15">
        <v>1164.4000000000001</v>
      </c>
      <c r="H37" s="15">
        <v>5356.9</v>
      </c>
      <c r="I37" s="15">
        <v>4231.8999999999996</v>
      </c>
      <c r="J37" s="15">
        <v>5401.9</v>
      </c>
      <c r="K37" s="15">
        <v>4969.6000000000004</v>
      </c>
    </row>
    <row r="38" spans="1:11" ht="16" outlineLevel="1" x14ac:dyDescent="0.2">
      <c r="A38" s="20" t="s">
        <v>119</v>
      </c>
      <c r="B38" s="21">
        <v>1143.7</v>
      </c>
      <c r="C38" s="21">
        <v>1379.7</v>
      </c>
      <c r="D38" s="21">
        <v>1432.6</v>
      </c>
      <c r="E38" s="21">
        <v>1262</v>
      </c>
      <c r="F38" s="21">
        <v>871.6</v>
      </c>
      <c r="G38" s="21">
        <v>239.7</v>
      </c>
      <c r="H38" s="21">
        <v>1156.5999999999999</v>
      </c>
      <c r="I38" s="21">
        <v>948.5</v>
      </c>
      <c r="J38" s="21">
        <v>1277.2</v>
      </c>
      <c r="K38" s="21">
        <v>1207.3</v>
      </c>
    </row>
    <row r="39" spans="1:11" ht="16" outlineLevel="2" x14ac:dyDescent="0.2">
      <c r="A39" s="18" t="s">
        <v>120</v>
      </c>
      <c r="B39" s="19">
        <v>951.1</v>
      </c>
      <c r="C39" s="19">
        <v>870.6</v>
      </c>
      <c r="D39" s="19">
        <v>1101.8</v>
      </c>
      <c r="E39" s="19">
        <v>208.2</v>
      </c>
      <c r="F39" s="19">
        <v>1862.1</v>
      </c>
      <c r="G39" s="19">
        <v>86.8</v>
      </c>
      <c r="H39" s="19">
        <v>871.8</v>
      </c>
      <c r="I39" s="19">
        <v>641.6</v>
      </c>
      <c r="J39" s="19">
        <v>914.1</v>
      </c>
      <c r="K39" s="26"/>
    </row>
    <row r="40" spans="1:11" ht="16" outlineLevel="2" x14ac:dyDescent="0.2">
      <c r="A40" s="16" t="s">
        <v>121</v>
      </c>
      <c r="B40" s="17">
        <v>172.2</v>
      </c>
      <c r="C40" s="17">
        <v>218.5</v>
      </c>
      <c r="D40" s="17">
        <v>216.6</v>
      </c>
      <c r="E40" s="17">
        <v>327</v>
      </c>
      <c r="F40" s="17">
        <v>458.3</v>
      </c>
      <c r="G40" s="17">
        <v>181.4</v>
      </c>
      <c r="H40" s="17">
        <v>409.8</v>
      </c>
      <c r="I40" s="17">
        <v>283.8</v>
      </c>
      <c r="J40" s="17">
        <v>422.4</v>
      </c>
      <c r="K40" s="27"/>
    </row>
    <row r="41" spans="1:11" ht="16" outlineLevel="2" x14ac:dyDescent="0.2">
      <c r="A41" s="18" t="s">
        <v>122</v>
      </c>
      <c r="B41" s="19">
        <v>60.5</v>
      </c>
      <c r="C41" s="19">
        <v>377.1</v>
      </c>
      <c r="D41" s="19">
        <v>135.4</v>
      </c>
      <c r="E41" s="19">
        <v>735.2</v>
      </c>
      <c r="F41" s="25">
        <v>-1396.9</v>
      </c>
      <c r="G41" s="25">
        <v>-13.2</v>
      </c>
      <c r="H41" s="19">
        <v>4</v>
      </c>
      <c r="I41" s="19">
        <v>103.1</v>
      </c>
      <c r="J41" s="19">
        <v>116.2</v>
      </c>
      <c r="K41" s="26"/>
    </row>
    <row r="42" spans="1:11" ht="16" outlineLevel="2" x14ac:dyDescent="0.2">
      <c r="A42" s="16" t="s">
        <v>123</v>
      </c>
      <c r="B42" s="32">
        <v>-40.1</v>
      </c>
      <c r="C42" s="32">
        <v>-86.5</v>
      </c>
      <c r="D42" s="32">
        <v>-21.2</v>
      </c>
      <c r="E42" s="32">
        <v>-8.4</v>
      </c>
      <c r="F42" s="32">
        <v>-51.9</v>
      </c>
      <c r="G42" s="32">
        <v>-15.3</v>
      </c>
      <c r="H42" s="32">
        <v>-129</v>
      </c>
      <c r="I42" s="32">
        <v>-80</v>
      </c>
      <c r="J42" s="32">
        <v>-175.5</v>
      </c>
      <c r="K42" s="27"/>
    </row>
    <row r="43" spans="1:11" ht="16" x14ac:dyDescent="0.2">
      <c r="A43" s="31" t="s">
        <v>124</v>
      </c>
      <c r="B43" s="15">
        <v>2759.3</v>
      </c>
      <c r="C43" s="15">
        <v>2818.9</v>
      </c>
      <c r="D43" s="15">
        <v>2884.9</v>
      </c>
      <c r="E43" s="15">
        <v>4518</v>
      </c>
      <c r="F43" s="15">
        <v>3594.6</v>
      </c>
      <c r="G43" s="15">
        <v>924.7</v>
      </c>
      <c r="H43" s="15">
        <v>4200.3</v>
      </c>
      <c r="I43" s="15">
        <v>3283.4</v>
      </c>
      <c r="J43" s="15">
        <v>4124.7</v>
      </c>
      <c r="K43" s="15">
        <v>3765.1</v>
      </c>
    </row>
    <row r="44" spans="1:11" ht="16" outlineLevel="1" x14ac:dyDescent="0.2">
      <c r="A44" s="28" t="s">
        <v>125</v>
      </c>
      <c r="B44" s="17">
        <v>1.9</v>
      </c>
      <c r="C44" s="17">
        <v>1.2</v>
      </c>
      <c r="D44" s="17">
        <v>0.2</v>
      </c>
      <c r="E44" s="32">
        <v>-0.3</v>
      </c>
      <c r="F44" s="32">
        <v>-4.5999999999999996</v>
      </c>
      <c r="G44" s="32">
        <v>-3.6</v>
      </c>
      <c r="H44" s="17">
        <v>1</v>
      </c>
      <c r="I44" s="17">
        <v>1.8</v>
      </c>
      <c r="J44" s="17">
        <v>0.2</v>
      </c>
      <c r="K44" s="17">
        <v>1.4</v>
      </c>
    </row>
    <row r="45" spans="1:11" ht="16" x14ac:dyDescent="0.2">
      <c r="A45" s="31" t="s">
        <v>126</v>
      </c>
      <c r="B45" s="15">
        <v>2757.4</v>
      </c>
      <c r="C45" s="15">
        <v>2817.7</v>
      </c>
      <c r="D45" s="15">
        <v>2884.7</v>
      </c>
      <c r="E45" s="15">
        <v>4518.3</v>
      </c>
      <c r="F45" s="15">
        <v>3599.2</v>
      </c>
      <c r="G45" s="15">
        <v>928.3</v>
      </c>
      <c r="H45" s="15">
        <v>4199.3</v>
      </c>
      <c r="I45" s="15">
        <v>3281.6</v>
      </c>
      <c r="J45" s="15">
        <v>4124.5</v>
      </c>
      <c r="K45" s="15">
        <v>3763.7</v>
      </c>
    </row>
    <row r="46" spans="1:11" ht="16" outlineLevel="1" x14ac:dyDescent="0.2">
      <c r="A46" s="28" t="s">
        <v>127</v>
      </c>
      <c r="B46" s="17">
        <v>2757.4</v>
      </c>
      <c r="C46" s="17">
        <v>2817.7</v>
      </c>
      <c r="D46" s="17">
        <v>2884.7</v>
      </c>
      <c r="E46" s="17">
        <v>4518.3</v>
      </c>
      <c r="F46" s="17">
        <v>3599.2</v>
      </c>
      <c r="G46" s="17">
        <v>928.3</v>
      </c>
      <c r="H46" s="17">
        <v>4199.3</v>
      </c>
      <c r="I46" s="17">
        <v>3281.6</v>
      </c>
      <c r="J46" s="17">
        <v>4124.5</v>
      </c>
      <c r="K46" s="17">
        <v>3760.9</v>
      </c>
    </row>
    <row r="47" spans="1:11" ht="16" x14ac:dyDescent="0.2">
      <c r="A47" s="31" t="s">
        <v>87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</row>
    <row r="48" spans="1:11" ht="16" outlineLevel="1" x14ac:dyDescent="0.2">
      <c r="A48" s="28" t="s">
        <v>128</v>
      </c>
      <c r="B48" s="35">
        <v>1.6769860000000001</v>
      </c>
      <c r="C48" s="35">
        <v>1.910291</v>
      </c>
      <c r="D48" s="35">
        <v>2.049709</v>
      </c>
      <c r="E48" s="35">
        <v>2.702782</v>
      </c>
      <c r="F48" s="35">
        <v>3.0024250000000001</v>
      </c>
      <c r="G48" s="35">
        <v>0.952708</v>
      </c>
      <c r="H48" s="35">
        <v>3.6288990000000001</v>
      </c>
      <c r="I48" s="35">
        <v>2.8188520000000001</v>
      </c>
      <c r="J48" s="35">
        <v>3.621324</v>
      </c>
      <c r="K48" s="35">
        <v>3.306867</v>
      </c>
    </row>
    <row r="49" spans="1:11" ht="16" outlineLevel="1" x14ac:dyDescent="0.2">
      <c r="A49" s="14" t="s">
        <v>129</v>
      </c>
      <c r="B49" s="38">
        <v>1.84</v>
      </c>
      <c r="C49" s="38">
        <v>1.91</v>
      </c>
      <c r="D49" s="38">
        <v>1.99</v>
      </c>
      <c r="E49" s="38">
        <v>3.27</v>
      </c>
      <c r="F49" s="38">
        <v>2.9472999999999998</v>
      </c>
      <c r="G49" s="38">
        <v>0.79149999999999998</v>
      </c>
      <c r="H49" s="38">
        <v>3.5659999999999998</v>
      </c>
      <c r="I49" s="38">
        <v>2.8454000000000002</v>
      </c>
      <c r="J49" s="38">
        <v>3.5964999999999998</v>
      </c>
      <c r="K49" s="31"/>
    </row>
    <row r="50" spans="1:11" ht="16" outlineLevel="2" x14ac:dyDescent="0.2">
      <c r="A50" s="16" t="s">
        <v>130</v>
      </c>
      <c r="B50" s="35">
        <v>1495.9</v>
      </c>
      <c r="C50" s="35">
        <v>1471.6</v>
      </c>
      <c r="D50" s="35">
        <v>1449.5</v>
      </c>
      <c r="E50" s="35">
        <v>1382.7</v>
      </c>
      <c r="F50" s="35">
        <v>1221.2</v>
      </c>
      <c r="G50" s="35">
        <v>1172.8</v>
      </c>
      <c r="H50" s="35">
        <v>1177.5999999999999</v>
      </c>
      <c r="I50" s="35">
        <v>1153.3</v>
      </c>
      <c r="J50" s="35">
        <v>1146.8</v>
      </c>
      <c r="K50" s="27"/>
    </row>
    <row r="51" spans="1:11" ht="16" outlineLevel="2" x14ac:dyDescent="0.2">
      <c r="A51" s="18" t="s">
        <v>131</v>
      </c>
      <c r="B51" s="33">
        <v>1485.1</v>
      </c>
      <c r="C51" s="33">
        <v>1460.5</v>
      </c>
      <c r="D51" s="33">
        <v>1431.6</v>
      </c>
      <c r="E51" s="33">
        <v>1309.0999999999999</v>
      </c>
      <c r="F51" s="33">
        <v>1184.5999999999999</v>
      </c>
      <c r="G51" s="33">
        <v>1173.3</v>
      </c>
      <c r="H51" s="33">
        <v>1180</v>
      </c>
      <c r="I51" s="33">
        <v>1147.9000000000001</v>
      </c>
      <c r="J51" s="33">
        <v>1142.5999999999999</v>
      </c>
      <c r="K51" s="33">
        <v>1133.5</v>
      </c>
    </row>
    <row r="52" spans="1:11" ht="16" outlineLevel="1" x14ac:dyDescent="0.2">
      <c r="A52" s="20" t="s">
        <v>132</v>
      </c>
      <c r="B52" s="39">
        <v>1.82</v>
      </c>
      <c r="C52" s="39">
        <v>1.9</v>
      </c>
      <c r="D52" s="39">
        <v>1.97</v>
      </c>
      <c r="E52" s="39">
        <v>3.24</v>
      </c>
      <c r="F52" s="39">
        <v>2.9186000000000001</v>
      </c>
      <c r="G52" s="39">
        <v>0.78549999999999998</v>
      </c>
      <c r="H52" s="39">
        <v>3.5421999999999998</v>
      </c>
      <c r="I52" s="39">
        <v>2.8325999999999998</v>
      </c>
      <c r="J52" s="39">
        <v>3.5825</v>
      </c>
      <c r="K52" s="39">
        <v>3.3069000000000002</v>
      </c>
    </row>
    <row r="53" spans="1:11" ht="16" outlineLevel="2" x14ac:dyDescent="0.2">
      <c r="A53" s="18" t="s">
        <v>133</v>
      </c>
      <c r="B53" s="33">
        <v>1513.4</v>
      </c>
      <c r="C53" s="33">
        <v>1486.7</v>
      </c>
      <c r="D53" s="33">
        <v>1461.5</v>
      </c>
      <c r="E53" s="33">
        <v>1394.6</v>
      </c>
      <c r="F53" s="33">
        <v>1233.2</v>
      </c>
      <c r="G53" s="33">
        <v>1181.8</v>
      </c>
      <c r="H53" s="33">
        <v>1185.5</v>
      </c>
      <c r="I53" s="33">
        <v>1158.5</v>
      </c>
      <c r="J53" s="33">
        <v>1151.3</v>
      </c>
      <c r="K53" s="33">
        <v>1137.3</v>
      </c>
    </row>
    <row r="54" spans="1:11" ht="16" outlineLevel="2" x14ac:dyDescent="0.2">
      <c r="A54" s="16" t="s">
        <v>131</v>
      </c>
      <c r="B54" s="35">
        <v>1485.1</v>
      </c>
      <c r="C54" s="35">
        <v>1460.5</v>
      </c>
      <c r="D54" s="35">
        <v>1431.6</v>
      </c>
      <c r="E54" s="35">
        <v>1309.0999999999999</v>
      </c>
      <c r="F54" s="35">
        <v>1184.5999999999999</v>
      </c>
      <c r="G54" s="35">
        <v>1173.3</v>
      </c>
      <c r="H54" s="35">
        <v>1180</v>
      </c>
      <c r="I54" s="35">
        <v>1147.9000000000001</v>
      </c>
      <c r="J54" s="35">
        <v>1142.5999999999999</v>
      </c>
      <c r="K54" s="35">
        <v>1133.5</v>
      </c>
    </row>
    <row r="55" spans="1:11" ht="16" outlineLevel="1" x14ac:dyDescent="0.2">
      <c r="A55" s="30" t="s">
        <v>134</v>
      </c>
      <c r="B55" s="33">
        <v>79.814999999999998</v>
      </c>
      <c r="C55" s="33">
        <v>85.741</v>
      </c>
      <c r="D55" s="33">
        <v>87.361000000000004</v>
      </c>
      <c r="E55" s="33">
        <v>45.671999999999997</v>
      </c>
      <c r="F55" s="33">
        <v>75.652000000000001</v>
      </c>
      <c r="G55" s="33">
        <v>56.17</v>
      </c>
      <c r="H55" s="33">
        <v>83.468000000000004</v>
      </c>
      <c r="I55" s="33">
        <v>88.36</v>
      </c>
      <c r="J55" s="33">
        <v>89.325000000000003</v>
      </c>
      <c r="K55" s="33">
        <v>83.263000000000005</v>
      </c>
    </row>
    <row r="56" spans="1:11" ht="16" outlineLevel="1" x14ac:dyDescent="0.2">
      <c r="A56" s="20" t="s">
        <v>135</v>
      </c>
      <c r="B56" s="39">
        <v>0.64</v>
      </c>
      <c r="C56" s="39">
        <v>0.8</v>
      </c>
      <c r="D56" s="39">
        <v>1</v>
      </c>
      <c r="E56" s="39">
        <v>1.26</v>
      </c>
      <c r="F56" s="39">
        <v>1.44</v>
      </c>
      <c r="G56" s="39">
        <v>1.64</v>
      </c>
      <c r="H56" s="39">
        <v>1.8</v>
      </c>
      <c r="I56" s="39">
        <v>1.96</v>
      </c>
      <c r="J56" s="39">
        <v>2.12</v>
      </c>
      <c r="K56" s="39">
        <v>2.2799999999999998</v>
      </c>
    </row>
    <row r="57" spans="1:11" ht="16" outlineLevel="2" x14ac:dyDescent="0.2">
      <c r="A57" s="18" t="s">
        <v>136</v>
      </c>
      <c r="B57" s="33">
        <v>35.164834999999997</v>
      </c>
      <c r="C57" s="33">
        <v>42.105263000000001</v>
      </c>
      <c r="D57" s="33">
        <v>50.761420999999999</v>
      </c>
      <c r="E57" s="33">
        <v>38.888888999999999</v>
      </c>
      <c r="F57" s="33">
        <v>49.338723999999999</v>
      </c>
      <c r="G57" s="33">
        <v>208.78421399999999</v>
      </c>
      <c r="H57" s="33">
        <v>50.815877</v>
      </c>
      <c r="I57" s="33">
        <v>69.194379999999995</v>
      </c>
      <c r="J57" s="33">
        <v>59.176552999999998</v>
      </c>
      <c r="K57" s="33">
        <v>68.946747999999999</v>
      </c>
    </row>
    <row r="58" spans="1:11" ht="16" x14ac:dyDescent="0.2">
      <c r="A58" s="13" t="s">
        <v>137</v>
      </c>
      <c r="B58" s="13"/>
      <c r="C58" s="13"/>
      <c r="D58" s="13"/>
      <c r="E58" s="13"/>
      <c r="F58" s="13"/>
      <c r="G58" s="13"/>
      <c r="H58" s="13"/>
      <c r="I58" s="13"/>
      <c r="J58" s="13"/>
      <c r="K58" s="13"/>
    </row>
    <row r="59" spans="1:11" ht="16" outlineLevel="1" x14ac:dyDescent="0.2">
      <c r="A59" s="14" t="s">
        <v>137</v>
      </c>
      <c r="B59" s="15">
        <v>4300.6000000000004</v>
      </c>
      <c r="C59" s="15">
        <v>4939.5</v>
      </c>
      <c r="D59" s="15">
        <v>5018.3</v>
      </c>
      <c r="E59" s="15">
        <v>5165.6000000000004</v>
      </c>
      <c r="F59" s="15">
        <v>5353.9</v>
      </c>
      <c r="G59" s="15">
        <v>4217.3999999999996</v>
      </c>
      <c r="H59" s="15">
        <v>7437.2</v>
      </c>
      <c r="I59" s="15">
        <v>7304.4</v>
      </c>
      <c r="J59" s="15">
        <v>6824.7</v>
      </c>
      <c r="K59" s="15">
        <v>7935.1</v>
      </c>
    </row>
    <row r="60" spans="1:11" ht="16" outlineLevel="2" x14ac:dyDescent="0.2">
      <c r="A60" s="16" t="s">
        <v>138</v>
      </c>
      <c r="B60" s="17">
        <v>3366.8</v>
      </c>
      <c r="C60" s="17">
        <v>3909.4</v>
      </c>
      <c r="D60" s="17">
        <v>3951.2</v>
      </c>
      <c r="E60" s="17">
        <v>3859.7</v>
      </c>
      <c r="F60" s="17">
        <v>3904.6</v>
      </c>
      <c r="G60" s="17">
        <v>1516.6</v>
      </c>
      <c r="H60" s="17">
        <v>4664.5</v>
      </c>
      <c r="I60" s="17">
        <v>4277.3</v>
      </c>
      <c r="J60" s="17">
        <v>5374.4</v>
      </c>
      <c r="K60" s="17">
        <v>5107.6000000000004</v>
      </c>
    </row>
    <row r="61" spans="1:11" ht="16" outlineLevel="2" x14ac:dyDescent="0.2">
      <c r="A61" s="18" t="s">
        <v>95</v>
      </c>
      <c r="B61" s="19">
        <v>933.8</v>
      </c>
      <c r="C61" s="19">
        <v>1030.0999999999999</v>
      </c>
      <c r="D61" s="19">
        <v>1067.0999999999999</v>
      </c>
      <c r="E61" s="19">
        <v>1305.9000000000001</v>
      </c>
      <c r="F61" s="19">
        <v>1449.3</v>
      </c>
      <c r="G61" s="19">
        <v>2700.8</v>
      </c>
      <c r="H61" s="19">
        <v>2772.7</v>
      </c>
      <c r="I61" s="19">
        <v>3027.1</v>
      </c>
      <c r="J61" s="19">
        <v>1450.3</v>
      </c>
      <c r="K61" s="19">
        <v>2827.5</v>
      </c>
    </row>
    <row r="62" spans="1:11" ht="16" x14ac:dyDescent="0.2">
      <c r="A62" s="37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C7711-0393-DA4F-9061-0A94C26096CA}">
  <dimension ref="A1:L38"/>
  <sheetViews>
    <sheetView topLeftCell="A8" zoomScale="140" workbookViewId="0">
      <selection activeCell="A30" sqref="A30"/>
    </sheetView>
  </sheetViews>
  <sheetFormatPr baseColWidth="10" defaultColWidth="9.1640625" defaultRowHeight="15" customHeight="1" x14ac:dyDescent="0.2"/>
  <cols>
    <col min="1" max="1" width="26.6640625" customWidth="1"/>
    <col min="2" max="6" width="7.83203125" customWidth="1"/>
    <col min="7" max="12" width="9" customWidth="1"/>
  </cols>
  <sheetData>
    <row r="1" spans="1:12" ht="16" x14ac:dyDescent="0.2">
      <c r="A1" s="9" t="s">
        <v>184</v>
      </c>
      <c r="G1" s="46"/>
    </row>
    <row r="2" spans="1:12" ht="16" x14ac:dyDescent="0.2">
      <c r="A2" t="s">
        <v>185</v>
      </c>
      <c r="B2" s="85">
        <f>B13/B4</f>
        <v>0.1424823539416617</v>
      </c>
      <c r="C2" s="85">
        <f t="shared" ref="C2:K2" si="0">C13/C4</f>
        <v>0.2237187119329952</v>
      </c>
      <c r="D2" s="85">
        <f t="shared" si="0"/>
        <v>0.19025559452160135</v>
      </c>
      <c r="E2" s="85">
        <f t="shared" si="0"/>
        <v>0.19913774891871158</v>
      </c>
      <c r="F2" s="85">
        <f t="shared" si="0"/>
        <v>0.19132191883061242</v>
      </c>
      <c r="G2" s="85">
        <f t="shared" si="0"/>
        <v>0.1860802237714638</v>
      </c>
      <c r="H2" s="85">
        <f t="shared" si="0"/>
        <v>0.19454843261516674</v>
      </c>
      <c r="I2" s="85">
        <f t="shared" si="0"/>
        <v>0.20360286060193938</v>
      </c>
      <c r="J2" s="85">
        <f t="shared" si="0"/>
        <v>0.21053682028302492</v>
      </c>
      <c r="K2" s="85">
        <f t="shared" si="0"/>
        <v>0.21544969087627372</v>
      </c>
      <c r="L2" s="85">
        <f>L13/L4</f>
        <v>0.22167999810978856</v>
      </c>
    </row>
    <row r="3" spans="1:12" ht="16" x14ac:dyDescent="0.2">
      <c r="A3" s="12"/>
      <c r="B3" s="12" t="s">
        <v>186</v>
      </c>
      <c r="C3" s="12" t="s">
        <v>187</v>
      </c>
      <c r="D3" s="12" t="s">
        <v>188</v>
      </c>
      <c r="E3" s="12" t="s">
        <v>189</v>
      </c>
      <c r="F3" s="12" t="s">
        <v>190</v>
      </c>
      <c r="G3" s="12" t="s">
        <v>191</v>
      </c>
      <c r="H3" s="12" t="s">
        <v>192</v>
      </c>
      <c r="I3" s="12" t="s">
        <v>193</v>
      </c>
      <c r="J3" s="12" t="s">
        <v>194</v>
      </c>
      <c r="K3" s="12" t="s">
        <v>195</v>
      </c>
      <c r="L3" s="12" t="s">
        <v>196</v>
      </c>
    </row>
    <row r="4" spans="1:12" ht="16" x14ac:dyDescent="0.2">
      <c r="A4" s="27" t="s">
        <v>92</v>
      </c>
      <c r="B4" s="17">
        <v>23518</v>
      </c>
      <c r="C4" s="17">
        <v>29060.6</v>
      </c>
      <c r="D4" s="17">
        <v>32250.3</v>
      </c>
      <c r="E4" s="17">
        <v>35975.599999999999</v>
      </c>
      <c r="F4" s="17">
        <v>36176.199999999997</v>
      </c>
      <c r="G4" s="17">
        <v>37609.800000000003</v>
      </c>
      <c r="H4" s="17">
        <v>40111.4</v>
      </c>
      <c r="I4" s="17">
        <v>43529.3</v>
      </c>
      <c r="J4" s="17">
        <v>46596.6</v>
      </c>
      <c r="K4" s="17">
        <v>50804.9</v>
      </c>
      <c r="L4" s="17">
        <v>55020.3</v>
      </c>
    </row>
    <row r="5" spans="1:12" ht="16" x14ac:dyDescent="0.2">
      <c r="A5" s="26" t="s">
        <v>197</v>
      </c>
      <c r="B5" s="26">
        <v>0</v>
      </c>
      <c r="C5" s="26">
        <v>0</v>
      </c>
      <c r="D5" s="26">
        <v>0</v>
      </c>
      <c r="E5" s="26">
        <v>0</v>
      </c>
      <c r="F5" s="26">
        <v>0</v>
      </c>
      <c r="G5" s="19">
        <v>37331.599999999999</v>
      </c>
      <c r="H5" s="26">
        <v>0</v>
      </c>
      <c r="I5" s="26">
        <v>0</v>
      </c>
      <c r="J5" s="26">
        <v>0</v>
      </c>
      <c r="K5" s="26">
        <v>0</v>
      </c>
      <c r="L5" s="26">
        <v>0</v>
      </c>
    </row>
    <row r="6" spans="1:12" ht="16" x14ac:dyDescent="0.2">
      <c r="A6" s="27" t="s">
        <v>199</v>
      </c>
      <c r="B6" s="27">
        <v>0</v>
      </c>
      <c r="C6" s="17">
        <v>29100</v>
      </c>
      <c r="D6" s="27">
        <v>0</v>
      </c>
      <c r="E6" s="27">
        <v>0</v>
      </c>
      <c r="F6" s="17">
        <v>36176.199999999997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</row>
    <row r="7" spans="1:12" ht="16" x14ac:dyDescent="0.2">
      <c r="A7" s="26" t="s">
        <v>200</v>
      </c>
      <c r="B7" s="26">
        <v>0</v>
      </c>
      <c r="C7" s="19">
        <v>29300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</row>
    <row r="8" spans="1:12" ht="16" x14ac:dyDescent="0.2">
      <c r="A8" s="27" t="s">
        <v>201</v>
      </c>
      <c r="B8" s="17">
        <v>7694.9</v>
      </c>
      <c r="C8" s="17">
        <v>8738.6</v>
      </c>
      <c r="D8" s="17">
        <v>10317.299999999999</v>
      </c>
      <c r="E8" s="17">
        <v>11409.2</v>
      </c>
      <c r="F8" s="17">
        <v>11180.5</v>
      </c>
      <c r="G8" s="17">
        <v>11449.8</v>
      </c>
      <c r="H8" s="17">
        <v>12020.8</v>
      </c>
      <c r="I8" s="17">
        <v>12845.3</v>
      </c>
      <c r="J8" s="17">
        <v>14200.8</v>
      </c>
      <c r="K8" s="17">
        <v>15357.9</v>
      </c>
      <c r="L8" s="17">
        <v>16585.5</v>
      </c>
    </row>
    <row r="9" spans="1:12" ht="16" x14ac:dyDescent="0.2">
      <c r="A9" s="26" t="s">
        <v>98</v>
      </c>
      <c r="B9" s="19">
        <v>15823.1</v>
      </c>
      <c r="C9" s="19">
        <v>20322</v>
      </c>
      <c r="D9" s="19">
        <v>21933</v>
      </c>
      <c r="E9" s="19">
        <v>24566.400000000001</v>
      </c>
      <c r="F9" s="19">
        <v>24995.7</v>
      </c>
      <c r="G9" s="19">
        <v>25863.9</v>
      </c>
      <c r="H9" s="19">
        <v>27418.7</v>
      </c>
      <c r="I9" s="19">
        <v>30062.3</v>
      </c>
      <c r="J9" s="19">
        <v>32649.4</v>
      </c>
      <c r="K9" s="19">
        <v>35447</v>
      </c>
      <c r="L9" s="19">
        <v>38434.800000000003</v>
      </c>
    </row>
    <row r="10" spans="1:12" ht="16" x14ac:dyDescent="0.2">
      <c r="A10" s="27" t="s">
        <v>99</v>
      </c>
      <c r="B10" s="17">
        <v>1663</v>
      </c>
      <c r="C10" s="17">
        <v>1908</v>
      </c>
      <c r="D10" s="17">
        <v>2032</v>
      </c>
      <c r="E10" s="17">
        <v>2441.15</v>
      </c>
      <c r="F10" s="17">
        <v>2523</v>
      </c>
      <c r="G10" s="17">
        <v>2554.9</v>
      </c>
      <c r="H10" s="17">
        <v>2662</v>
      </c>
      <c r="I10" s="27">
        <v>0</v>
      </c>
      <c r="J10" s="27">
        <v>0</v>
      </c>
      <c r="K10" s="27">
        <v>0</v>
      </c>
      <c r="L10" s="27">
        <v>0</v>
      </c>
    </row>
    <row r="11" spans="1:12" ht="16" x14ac:dyDescent="0.2">
      <c r="A11" s="26" t="s">
        <v>202</v>
      </c>
      <c r="B11" s="26">
        <v>0</v>
      </c>
      <c r="C11" s="19">
        <v>8739</v>
      </c>
      <c r="D11" s="19">
        <v>10317.200000000001</v>
      </c>
      <c r="E11" s="19">
        <v>11409</v>
      </c>
      <c r="F11" s="19">
        <v>11180.5</v>
      </c>
      <c r="G11" s="19">
        <v>11582.9</v>
      </c>
      <c r="H11" s="19">
        <v>12227.3</v>
      </c>
      <c r="I11" s="19">
        <v>13105.8</v>
      </c>
      <c r="J11" s="19">
        <v>14085</v>
      </c>
      <c r="K11" s="26">
        <v>0</v>
      </c>
      <c r="L11" s="26">
        <v>0</v>
      </c>
    </row>
    <row r="12" spans="1:12" ht="16" x14ac:dyDescent="0.2">
      <c r="A12" s="27" t="s">
        <v>203</v>
      </c>
      <c r="B12" s="17">
        <v>1663.3</v>
      </c>
      <c r="C12" s="17">
        <v>1910.4</v>
      </c>
      <c r="D12" s="17">
        <v>2031.9</v>
      </c>
      <c r="E12" s="17">
        <v>2441.4</v>
      </c>
      <c r="F12" s="17">
        <v>2523.4</v>
      </c>
      <c r="G12" s="17">
        <v>2562.13</v>
      </c>
      <c r="H12" s="17">
        <v>2627.21</v>
      </c>
      <c r="I12" s="17">
        <v>2729.38</v>
      </c>
      <c r="J12" s="17">
        <v>2901.95</v>
      </c>
      <c r="K12" s="17">
        <v>3219.1</v>
      </c>
      <c r="L12" s="17">
        <v>3418</v>
      </c>
    </row>
    <row r="13" spans="1:12" ht="16" x14ac:dyDescent="0.2">
      <c r="A13" s="26" t="s">
        <v>137</v>
      </c>
      <c r="B13" s="19">
        <v>3350.9</v>
      </c>
      <c r="C13" s="19">
        <v>6501.4</v>
      </c>
      <c r="D13" s="19">
        <v>6135.8</v>
      </c>
      <c r="E13" s="19">
        <v>7164.1</v>
      </c>
      <c r="F13" s="19">
        <v>6921.3</v>
      </c>
      <c r="G13" s="19">
        <v>6998.44</v>
      </c>
      <c r="H13" s="19">
        <v>7803.61</v>
      </c>
      <c r="I13" s="19">
        <v>8862.69</v>
      </c>
      <c r="J13" s="19">
        <v>9810.2999999999993</v>
      </c>
      <c r="K13" s="19">
        <v>10945.9</v>
      </c>
      <c r="L13" s="19">
        <v>12196.9</v>
      </c>
    </row>
    <row r="14" spans="1:12" ht="16" x14ac:dyDescent="0.2">
      <c r="A14" s="27" t="s">
        <v>204</v>
      </c>
      <c r="B14" s="17">
        <v>3350.6</v>
      </c>
      <c r="C14" s="17">
        <v>6537.8</v>
      </c>
      <c r="D14" s="17">
        <v>6135.8</v>
      </c>
      <c r="E14" s="17">
        <v>7164.1</v>
      </c>
      <c r="F14" s="17">
        <v>6921.3</v>
      </c>
      <c r="G14" s="17">
        <v>7038.74</v>
      </c>
      <c r="H14" s="17">
        <v>7815.4</v>
      </c>
      <c r="I14" s="17">
        <v>8913.49</v>
      </c>
      <c r="J14" s="17">
        <v>9810.2999999999993</v>
      </c>
      <c r="K14" s="17">
        <v>10945.9</v>
      </c>
      <c r="L14" s="17">
        <v>12196.9</v>
      </c>
    </row>
    <row r="15" spans="1:12" ht="16" x14ac:dyDescent="0.2">
      <c r="A15" s="26" t="s">
        <v>205</v>
      </c>
      <c r="B15" s="19">
        <v>3064.8</v>
      </c>
      <c r="C15" s="19">
        <v>6438.3</v>
      </c>
      <c r="D15" s="19">
        <v>6134.8</v>
      </c>
      <c r="E15" s="19">
        <v>7164.7</v>
      </c>
      <c r="F15" s="19">
        <v>6921.3</v>
      </c>
      <c r="G15" s="19">
        <v>6856.29</v>
      </c>
      <c r="H15" s="19">
        <v>7501.08</v>
      </c>
      <c r="I15" s="19">
        <v>8855.65</v>
      </c>
      <c r="J15" s="26">
        <v>0</v>
      </c>
      <c r="K15" s="26">
        <v>0</v>
      </c>
      <c r="L15" s="26">
        <v>0</v>
      </c>
    </row>
    <row r="16" spans="1:12" ht="16" x14ac:dyDescent="0.2">
      <c r="A16" s="27" t="s">
        <v>206</v>
      </c>
      <c r="B16" s="17">
        <v>1217.7</v>
      </c>
      <c r="C16" s="17">
        <v>1239.4000000000001</v>
      </c>
      <c r="D16" s="17">
        <v>1280.7</v>
      </c>
      <c r="E16" s="17">
        <v>1362.6</v>
      </c>
      <c r="F16" s="17">
        <v>1512.6</v>
      </c>
      <c r="G16" s="17">
        <v>1620.4</v>
      </c>
      <c r="H16" s="17">
        <v>1715.81</v>
      </c>
      <c r="I16" s="17">
        <v>1826.62</v>
      </c>
      <c r="J16" s="17">
        <v>2032.25</v>
      </c>
      <c r="K16" s="17">
        <v>2185.5</v>
      </c>
      <c r="L16" s="17">
        <v>2363.5</v>
      </c>
    </row>
    <row r="17" spans="1:12" ht="16" x14ac:dyDescent="0.2">
      <c r="A17" s="26" t="s">
        <v>207</v>
      </c>
      <c r="B17" s="19">
        <v>2133.1999999999998</v>
      </c>
      <c r="C17" s="19">
        <v>5262</v>
      </c>
      <c r="D17" s="19">
        <v>4855</v>
      </c>
      <c r="E17" s="19">
        <v>5801.5</v>
      </c>
      <c r="F17" s="19">
        <v>5408.7</v>
      </c>
      <c r="G17" s="19">
        <v>5362.79</v>
      </c>
      <c r="H17" s="19">
        <v>6213.02</v>
      </c>
      <c r="I17" s="19">
        <v>7123.84</v>
      </c>
      <c r="J17" s="19">
        <v>8482.4500000000007</v>
      </c>
      <c r="K17" s="19">
        <v>8760.5</v>
      </c>
      <c r="L17" s="19">
        <v>9833.4</v>
      </c>
    </row>
    <row r="18" spans="1:12" ht="16" x14ac:dyDescent="0.2">
      <c r="A18" s="27" t="s">
        <v>199</v>
      </c>
      <c r="B18" s="27">
        <v>0</v>
      </c>
      <c r="C18" s="17">
        <v>5238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</row>
    <row r="19" spans="1:12" ht="16" x14ac:dyDescent="0.2">
      <c r="A19" s="26" t="s">
        <v>200</v>
      </c>
      <c r="B19" s="26">
        <v>0</v>
      </c>
      <c r="C19" s="19">
        <v>5274</v>
      </c>
      <c r="D19" s="26">
        <v>0</v>
      </c>
      <c r="E19" s="26">
        <v>0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</row>
    <row r="20" spans="1:12" ht="16" x14ac:dyDescent="0.2">
      <c r="A20" s="27" t="s">
        <v>208</v>
      </c>
      <c r="B20" s="17">
        <v>2133.1999999999998</v>
      </c>
      <c r="C20" s="17">
        <v>5262</v>
      </c>
      <c r="D20" s="17">
        <v>4855.1000000000004</v>
      </c>
      <c r="E20" s="17">
        <v>5801.5</v>
      </c>
      <c r="F20" s="17">
        <v>5408.7</v>
      </c>
      <c r="G20" s="17">
        <v>5565.96</v>
      </c>
      <c r="H20" s="17">
        <v>6312.2</v>
      </c>
      <c r="I20" s="17">
        <v>7085.05</v>
      </c>
      <c r="J20" s="17">
        <v>7791.9</v>
      </c>
      <c r="K20" s="17">
        <v>8760.5</v>
      </c>
      <c r="L20" s="17">
        <v>9833.4</v>
      </c>
    </row>
    <row r="21" spans="1:12" ht="16" x14ac:dyDescent="0.2">
      <c r="A21" s="26" t="s">
        <v>199</v>
      </c>
      <c r="B21" s="26">
        <v>0</v>
      </c>
      <c r="C21" s="19">
        <v>5238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</row>
    <row r="22" spans="1:12" ht="16" x14ac:dyDescent="0.2">
      <c r="A22" s="27" t="s">
        <v>200</v>
      </c>
      <c r="B22" s="27">
        <v>0</v>
      </c>
      <c r="C22" s="17">
        <v>5274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</row>
    <row r="23" spans="1:12" ht="16" x14ac:dyDescent="0.2">
      <c r="A23" s="26" t="s">
        <v>209</v>
      </c>
      <c r="B23" s="19">
        <v>1561.7</v>
      </c>
      <c r="C23" s="19">
        <v>4872.1000000000004</v>
      </c>
      <c r="D23" s="19">
        <v>4618</v>
      </c>
      <c r="E23" s="19">
        <v>5870.65</v>
      </c>
      <c r="F23" s="19">
        <v>5408.7</v>
      </c>
      <c r="G23" s="19">
        <v>5356.38</v>
      </c>
      <c r="H23" s="19">
        <v>6101.65</v>
      </c>
      <c r="I23" s="26">
        <v>0</v>
      </c>
      <c r="J23" s="26">
        <v>0</v>
      </c>
      <c r="K23" s="26">
        <v>0</v>
      </c>
      <c r="L23" s="26">
        <v>0</v>
      </c>
    </row>
    <row r="24" spans="1:12" ht="16" x14ac:dyDescent="0.2">
      <c r="A24" s="27" t="s">
        <v>199</v>
      </c>
      <c r="B24" s="27">
        <v>0</v>
      </c>
      <c r="C24" s="17">
        <v>4947</v>
      </c>
      <c r="D24" s="27">
        <v>0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7">
        <v>0</v>
      </c>
      <c r="L24" s="27">
        <v>0</v>
      </c>
    </row>
    <row r="25" spans="1:12" ht="16" x14ac:dyDescent="0.2">
      <c r="A25" s="26" t="s">
        <v>200</v>
      </c>
      <c r="B25" s="26">
        <v>0</v>
      </c>
      <c r="C25" s="19">
        <v>4981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</row>
    <row r="26" spans="1:12" ht="16" x14ac:dyDescent="0.2">
      <c r="A26" s="27" t="s">
        <v>106</v>
      </c>
      <c r="B26" s="17">
        <v>436.9</v>
      </c>
      <c r="C26" s="17">
        <v>469.8</v>
      </c>
      <c r="D26" s="17">
        <v>482.9</v>
      </c>
      <c r="E26" s="17">
        <v>550.1</v>
      </c>
      <c r="F26" s="17">
        <v>562</v>
      </c>
      <c r="G26" s="17">
        <v>578.21199999999999</v>
      </c>
      <c r="H26" s="17">
        <v>600.60199999999998</v>
      </c>
      <c r="I26" s="17">
        <v>635.79999999999995</v>
      </c>
      <c r="J26" s="17">
        <v>751.5</v>
      </c>
      <c r="K26" s="17">
        <v>562</v>
      </c>
      <c r="L26" s="17">
        <v>562</v>
      </c>
    </row>
    <row r="27" spans="1:12" ht="16" x14ac:dyDescent="0.2">
      <c r="A27" s="26" t="s">
        <v>199</v>
      </c>
      <c r="B27" s="19">
        <v>435</v>
      </c>
      <c r="C27" s="19">
        <v>470</v>
      </c>
      <c r="D27" s="26">
        <v>0</v>
      </c>
      <c r="E27" s="19">
        <v>540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</row>
    <row r="28" spans="1:12" ht="16" x14ac:dyDescent="0.2">
      <c r="A28" s="27" t="s">
        <v>200</v>
      </c>
      <c r="B28" s="17">
        <v>445</v>
      </c>
      <c r="C28" s="17">
        <v>480</v>
      </c>
      <c r="D28" s="27">
        <v>0</v>
      </c>
      <c r="E28" s="17">
        <v>560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</row>
    <row r="29" spans="1:12" ht="16" x14ac:dyDescent="0.2">
      <c r="A29" s="26" t="s">
        <v>118</v>
      </c>
      <c r="B29" s="19">
        <v>1736</v>
      </c>
      <c r="C29" s="19">
        <v>4882.6000000000004</v>
      </c>
      <c r="D29" s="19">
        <v>4459.5</v>
      </c>
      <c r="E29" s="19">
        <v>5336</v>
      </c>
      <c r="F29" s="19">
        <v>4969.5</v>
      </c>
      <c r="G29" s="19">
        <v>4871.09</v>
      </c>
      <c r="H29" s="19">
        <v>5693.33</v>
      </c>
      <c r="I29" s="19">
        <v>6608.16</v>
      </c>
      <c r="J29" s="19">
        <v>7808.95</v>
      </c>
      <c r="K29" s="19">
        <v>8246.5</v>
      </c>
      <c r="L29" s="19">
        <v>9319.4</v>
      </c>
    </row>
    <row r="30" spans="1:12" ht="16" x14ac:dyDescent="0.2">
      <c r="A30" s="27" t="s">
        <v>210</v>
      </c>
      <c r="B30" s="17">
        <v>1736</v>
      </c>
      <c r="C30" s="17">
        <v>4882.8</v>
      </c>
      <c r="D30" s="17">
        <v>4469.3</v>
      </c>
      <c r="E30" s="17">
        <v>5332.9</v>
      </c>
      <c r="F30" s="17">
        <v>4969.5</v>
      </c>
      <c r="G30" s="17">
        <v>5025.0200000000004</v>
      </c>
      <c r="H30" s="17">
        <v>5877.68</v>
      </c>
      <c r="I30" s="17">
        <v>6635.03</v>
      </c>
      <c r="J30" s="27">
        <v>0</v>
      </c>
      <c r="K30" s="27">
        <v>0</v>
      </c>
      <c r="L30" s="27">
        <v>0</v>
      </c>
    </row>
    <row r="31" spans="1:12" ht="16" x14ac:dyDescent="0.2">
      <c r="A31" s="26" t="s">
        <v>211</v>
      </c>
      <c r="B31" s="19">
        <v>1164</v>
      </c>
      <c r="C31" s="19">
        <v>5357</v>
      </c>
      <c r="D31" s="19">
        <v>4350.6499999999996</v>
      </c>
      <c r="E31" s="19">
        <v>5401.9</v>
      </c>
      <c r="F31" s="19">
        <v>4968.1499999999996</v>
      </c>
      <c r="G31" s="19">
        <v>4961.82</v>
      </c>
      <c r="H31" s="19">
        <v>5631</v>
      </c>
      <c r="I31" s="19">
        <v>6297.78</v>
      </c>
      <c r="J31" s="26">
        <v>0</v>
      </c>
      <c r="K31" s="26">
        <v>0</v>
      </c>
      <c r="L31" s="26">
        <v>0</v>
      </c>
    </row>
    <row r="32" spans="1:12" ht="16" x14ac:dyDescent="0.2">
      <c r="A32" s="27" t="s">
        <v>212</v>
      </c>
      <c r="B32" s="17">
        <v>352</v>
      </c>
      <c r="C32" s="17">
        <v>1048.8</v>
      </c>
      <c r="D32" s="17">
        <v>1029.6500000000001</v>
      </c>
      <c r="E32" s="17">
        <v>1257.45</v>
      </c>
      <c r="F32" s="17">
        <v>1207.3</v>
      </c>
      <c r="G32" s="17">
        <v>1174.44</v>
      </c>
      <c r="H32" s="17">
        <v>1362.31</v>
      </c>
      <c r="I32" s="17">
        <v>1599.05</v>
      </c>
      <c r="J32" s="17">
        <v>1934.05</v>
      </c>
      <c r="K32" s="17">
        <v>2020.4</v>
      </c>
      <c r="L32" s="17">
        <v>2283.1999999999998</v>
      </c>
    </row>
    <row r="33" spans="1:12" ht="16" x14ac:dyDescent="0.2">
      <c r="A33" s="26" t="s">
        <v>126</v>
      </c>
      <c r="B33" s="19">
        <v>1381.7</v>
      </c>
      <c r="C33" s="19">
        <v>3841.02</v>
      </c>
      <c r="D33" s="19">
        <v>3429.16</v>
      </c>
      <c r="E33" s="19">
        <v>4075.6</v>
      </c>
      <c r="F33" s="19">
        <v>3764.46</v>
      </c>
      <c r="G33" s="19">
        <v>3678.8</v>
      </c>
      <c r="H33" s="19">
        <v>4298.32</v>
      </c>
      <c r="I33" s="19">
        <v>4994.9799999999996</v>
      </c>
      <c r="J33" s="19">
        <v>5873.9</v>
      </c>
      <c r="K33" s="19">
        <v>6226.1</v>
      </c>
      <c r="L33" s="19">
        <v>7036.1</v>
      </c>
    </row>
    <row r="34" spans="1:12" ht="16" x14ac:dyDescent="0.2">
      <c r="A34" s="27" t="s">
        <v>213</v>
      </c>
      <c r="B34" s="17">
        <v>1381.7</v>
      </c>
      <c r="C34" s="17">
        <v>3841.02</v>
      </c>
      <c r="D34" s="17">
        <v>3429.16</v>
      </c>
      <c r="E34" s="17">
        <v>4075.6</v>
      </c>
      <c r="F34" s="17">
        <v>3764.46</v>
      </c>
      <c r="G34" s="17">
        <v>3678.8</v>
      </c>
      <c r="H34" s="17">
        <v>4298.32</v>
      </c>
      <c r="I34" s="17">
        <v>4994.9799999999996</v>
      </c>
      <c r="J34" s="17">
        <v>5873.9</v>
      </c>
      <c r="K34" s="17">
        <v>6226.1</v>
      </c>
      <c r="L34" s="17">
        <v>7036.1</v>
      </c>
    </row>
    <row r="35" spans="1:12" ht="16" x14ac:dyDescent="0.2">
      <c r="A35" s="26" t="s">
        <v>214</v>
      </c>
      <c r="B35" s="19">
        <v>928.3</v>
      </c>
      <c r="C35" s="19">
        <v>4199.3</v>
      </c>
      <c r="D35" s="19">
        <v>3281.6</v>
      </c>
      <c r="E35" s="19">
        <v>4124.5</v>
      </c>
      <c r="F35" s="19">
        <v>3760.9</v>
      </c>
      <c r="G35" s="19">
        <v>3718.36</v>
      </c>
      <c r="H35" s="19">
        <v>4449.0600000000004</v>
      </c>
      <c r="I35" s="19">
        <v>4889.4799999999996</v>
      </c>
      <c r="J35" s="19">
        <v>5858</v>
      </c>
      <c r="K35" s="26">
        <v>0</v>
      </c>
      <c r="L35" s="26">
        <v>0</v>
      </c>
    </row>
    <row r="36" spans="1:12" ht="15" customHeight="1" x14ac:dyDescent="0.2">
      <c r="B36" s="46"/>
    </row>
    <row r="37" spans="1:12" ht="15" customHeight="1" x14ac:dyDescent="0.2">
      <c r="B37" s="46"/>
    </row>
    <row r="38" spans="1:12" ht="15" customHeight="1" x14ac:dyDescent="0.2">
      <c r="A38" s="47" t="s">
        <v>228</v>
      </c>
      <c r="B38" s="48">
        <f>B32/B29</f>
        <v>0.20276497695852536</v>
      </c>
      <c r="C38" s="48">
        <f t="shared" ref="C38:L38" si="1">C32/C29</f>
        <v>0.2148035882521607</v>
      </c>
      <c r="D38" s="48">
        <f t="shared" si="1"/>
        <v>0.2308891131292746</v>
      </c>
      <c r="E38" s="48">
        <f t="shared" si="1"/>
        <v>0.235654047976012</v>
      </c>
      <c r="F38" s="48">
        <f t="shared" si="1"/>
        <v>0.2429419458698058</v>
      </c>
      <c r="G38" s="48">
        <f t="shared" si="1"/>
        <v>0.24110414712107558</v>
      </c>
      <c r="H38" s="48">
        <f t="shared" si="1"/>
        <v>0.23928175601976348</v>
      </c>
      <c r="I38" s="48">
        <f t="shared" si="1"/>
        <v>0.24198112636497907</v>
      </c>
      <c r="J38" s="48">
        <f t="shared" si="1"/>
        <v>0.24767094167589754</v>
      </c>
      <c r="K38" s="48">
        <f t="shared" si="1"/>
        <v>0.24500090947674771</v>
      </c>
      <c r="L38" s="49">
        <f t="shared" si="1"/>
        <v>0.24499431293860119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9D42-D030-3F4F-A70C-D5E91B33ADE7}">
  <dimension ref="A1:L15"/>
  <sheetViews>
    <sheetView workbookViewId="0">
      <selection activeCell="A9" sqref="A9"/>
    </sheetView>
  </sheetViews>
  <sheetFormatPr baseColWidth="10" defaultColWidth="9.1640625" defaultRowHeight="15" customHeight="1" x14ac:dyDescent="0.2"/>
  <cols>
    <col min="1" max="1" width="17" customWidth="1"/>
    <col min="2" max="6" width="7.83203125" customWidth="1"/>
    <col min="7" max="12" width="9" customWidth="1"/>
  </cols>
  <sheetData>
    <row r="1" spans="1:12" ht="16" x14ac:dyDescent="0.2">
      <c r="A1" s="9" t="s">
        <v>184</v>
      </c>
    </row>
    <row r="2" spans="1:12" ht="16" x14ac:dyDescent="0.2">
      <c r="A2" t="s">
        <v>215</v>
      </c>
    </row>
    <row r="3" spans="1:12" ht="16" x14ac:dyDescent="0.2">
      <c r="A3" s="12"/>
      <c r="B3" s="12" t="s">
        <v>186</v>
      </c>
      <c r="C3" s="12" t="s">
        <v>187</v>
      </c>
      <c r="D3" s="12" t="s">
        <v>188</v>
      </c>
      <c r="E3" s="12" t="s">
        <v>189</v>
      </c>
      <c r="F3" s="12" t="s">
        <v>190</v>
      </c>
      <c r="G3" s="12" t="s">
        <v>191</v>
      </c>
      <c r="H3" s="12" t="s">
        <v>192</v>
      </c>
      <c r="I3" s="12" t="s">
        <v>193</v>
      </c>
      <c r="J3" s="12" t="s">
        <v>194</v>
      </c>
      <c r="K3" s="12" t="s">
        <v>195</v>
      </c>
      <c r="L3" s="12" t="s">
        <v>196</v>
      </c>
    </row>
    <row r="4" spans="1:12" ht="16" x14ac:dyDescent="0.2">
      <c r="A4" s="27" t="s">
        <v>216</v>
      </c>
      <c r="B4" s="17">
        <v>7806</v>
      </c>
      <c r="C4" s="17">
        <v>9756</v>
      </c>
      <c r="D4" s="17">
        <v>7019</v>
      </c>
      <c r="E4" s="17">
        <v>7303</v>
      </c>
      <c r="F4" s="17">
        <v>6847</v>
      </c>
      <c r="G4" s="17">
        <v>6005.5</v>
      </c>
      <c r="H4" s="17">
        <v>6869.22</v>
      </c>
      <c r="I4" s="17">
        <v>10337.5</v>
      </c>
      <c r="J4" s="17">
        <v>14289</v>
      </c>
      <c r="K4" s="27" t="s">
        <v>198</v>
      </c>
      <c r="L4" s="27" t="s">
        <v>198</v>
      </c>
    </row>
    <row r="5" spans="1:12" ht="16" x14ac:dyDescent="0.2">
      <c r="A5" s="26" t="s">
        <v>217</v>
      </c>
      <c r="B5" s="19">
        <v>7346.8</v>
      </c>
      <c r="C5" s="19">
        <v>8151.4</v>
      </c>
      <c r="D5" s="19">
        <v>9151.7999999999993</v>
      </c>
      <c r="E5" s="19">
        <v>9345.15</v>
      </c>
      <c r="F5" s="19">
        <v>9070</v>
      </c>
      <c r="G5" s="19">
        <v>8823.77</v>
      </c>
      <c r="H5" s="19">
        <v>9035.9</v>
      </c>
      <c r="I5" s="19">
        <v>10006.5</v>
      </c>
      <c r="J5" s="19">
        <v>11729</v>
      </c>
      <c r="K5" s="26" t="s">
        <v>198</v>
      </c>
      <c r="L5" s="26" t="s">
        <v>198</v>
      </c>
    </row>
    <row r="6" spans="1:12" ht="16" x14ac:dyDescent="0.2">
      <c r="A6" s="27" t="s">
        <v>54</v>
      </c>
      <c r="B6" s="17">
        <v>29374.5</v>
      </c>
      <c r="C6" s="17">
        <v>31392.6</v>
      </c>
      <c r="D6" s="17">
        <v>27978</v>
      </c>
      <c r="E6" s="17">
        <v>29445.8</v>
      </c>
      <c r="F6" s="17">
        <v>31339.200000000001</v>
      </c>
      <c r="G6" s="17">
        <v>31901.9</v>
      </c>
      <c r="H6" s="17">
        <v>34250.6</v>
      </c>
      <c r="I6" s="17">
        <v>39681.800000000003</v>
      </c>
      <c r="J6" s="17">
        <v>46608</v>
      </c>
      <c r="K6" s="27" t="s">
        <v>198</v>
      </c>
      <c r="L6" s="27" t="s">
        <v>198</v>
      </c>
    </row>
    <row r="7" spans="1:12" ht="16" x14ac:dyDescent="0.2">
      <c r="A7" s="26" t="s">
        <v>218</v>
      </c>
      <c r="B7" s="19">
        <v>1469.45</v>
      </c>
      <c r="C7" s="19">
        <v>998.9</v>
      </c>
      <c r="D7" s="19">
        <v>1749</v>
      </c>
      <c r="E7" s="19">
        <v>1818.6</v>
      </c>
      <c r="F7" s="19">
        <v>1248.95</v>
      </c>
      <c r="G7" s="19">
        <v>1067.1600000000001</v>
      </c>
      <c r="H7" s="19">
        <v>1132.47</v>
      </c>
      <c r="I7" s="19">
        <v>1025</v>
      </c>
      <c r="J7" s="19">
        <v>2371</v>
      </c>
      <c r="K7" s="26" t="s">
        <v>198</v>
      </c>
      <c r="L7" s="26" t="s">
        <v>198</v>
      </c>
    </row>
    <row r="8" spans="1:12" ht="16" x14ac:dyDescent="0.2">
      <c r="A8" s="27" t="s">
        <v>66</v>
      </c>
      <c r="B8" s="17">
        <v>14659.6</v>
      </c>
      <c r="C8" s="17">
        <v>13616.9</v>
      </c>
      <c r="D8" s="17">
        <v>13120</v>
      </c>
      <c r="E8" s="17">
        <v>13547.6</v>
      </c>
      <c r="F8" s="17">
        <v>14319.5</v>
      </c>
      <c r="G8" s="17">
        <v>14886</v>
      </c>
      <c r="H8" s="17">
        <v>17568.400000000001</v>
      </c>
      <c r="I8" s="17">
        <v>21911.8</v>
      </c>
      <c r="J8" s="17">
        <v>27185</v>
      </c>
      <c r="K8" s="27" t="s">
        <v>198</v>
      </c>
      <c r="L8" s="27" t="s">
        <v>198</v>
      </c>
    </row>
    <row r="9" spans="1:12" ht="16" x14ac:dyDescent="0.2">
      <c r="A9" s="26" t="s">
        <v>219</v>
      </c>
      <c r="B9" s="19">
        <v>16348</v>
      </c>
      <c r="C9" s="19">
        <v>14616</v>
      </c>
      <c r="D9" s="19">
        <v>14869</v>
      </c>
      <c r="E9" s="19">
        <v>15399.8</v>
      </c>
      <c r="F9" s="19">
        <v>15568</v>
      </c>
      <c r="G9" s="19">
        <v>15595.5</v>
      </c>
      <c r="H9" s="19">
        <v>16578.8</v>
      </c>
      <c r="I9" s="19">
        <v>21568.400000000001</v>
      </c>
      <c r="J9" s="26" t="s">
        <v>198</v>
      </c>
      <c r="K9" s="26" t="s">
        <v>198</v>
      </c>
      <c r="L9" s="26" t="s">
        <v>198</v>
      </c>
    </row>
    <row r="10" spans="1:12" ht="16" x14ac:dyDescent="0.2">
      <c r="A10" s="27" t="s">
        <v>48</v>
      </c>
      <c r="B10" s="17">
        <v>552.1</v>
      </c>
      <c r="C10" s="17">
        <v>349.9</v>
      </c>
      <c r="D10" s="17">
        <v>156</v>
      </c>
      <c r="E10" s="17">
        <v>120.75</v>
      </c>
      <c r="F10" s="17">
        <v>101</v>
      </c>
      <c r="G10" s="17">
        <v>754.08</v>
      </c>
      <c r="H10" s="17">
        <v>904.875</v>
      </c>
      <c r="I10" s="17">
        <v>100.95</v>
      </c>
      <c r="J10" s="17">
        <v>101</v>
      </c>
      <c r="K10" s="27" t="s">
        <v>198</v>
      </c>
      <c r="L10" s="27" t="s">
        <v>198</v>
      </c>
    </row>
    <row r="11" spans="1:12" ht="16" x14ac:dyDescent="0.2">
      <c r="A11" s="26" t="s">
        <v>220</v>
      </c>
      <c r="B11" s="19">
        <v>3597.2</v>
      </c>
      <c r="C11" s="19">
        <v>3677.3</v>
      </c>
      <c r="D11" s="19">
        <v>3283.5</v>
      </c>
      <c r="E11" s="19">
        <v>3218.3</v>
      </c>
      <c r="F11" s="19">
        <v>3315.7</v>
      </c>
      <c r="G11" s="19">
        <v>3315.8</v>
      </c>
      <c r="H11" s="19">
        <v>3315.82</v>
      </c>
      <c r="I11" s="19">
        <v>3315.8</v>
      </c>
      <c r="J11" s="19">
        <v>3316</v>
      </c>
      <c r="K11" s="26" t="s">
        <v>198</v>
      </c>
      <c r="L11" s="26" t="s">
        <v>198</v>
      </c>
    </row>
    <row r="12" spans="1:12" ht="16" x14ac:dyDescent="0.2">
      <c r="A12" s="27" t="s">
        <v>221</v>
      </c>
      <c r="B12" s="17">
        <v>11716.2</v>
      </c>
      <c r="C12" s="17">
        <v>7998</v>
      </c>
      <c r="D12" s="17">
        <v>11686</v>
      </c>
      <c r="E12" s="17">
        <v>11848.1</v>
      </c>
      <c r="F12" s="17">
        <v>12153.6</v>
      </c>
      <c r="G12" s="17">
        <v>16703</v>
      </c>
      <c r="H12" s="17">
        <v>17375.5</v>
      </c>
      <c r="I12" s="17">
        <v>19378.2</v>
      </c>
      <c r="J12" s="27" t="s">
        <v>198</v>
      </c>
      <c r="K12" s="27" t="s">
        <v>198</v>
      </c>
      <c r="L12" s="27" t="s">
        <v>198</v>
      </c>
    </row>
    <row r="13" spans="1:12" ht="16" x14ac:dyDescent="0.2">
      <c r="A13" s="26" t="s">
        <v>222</v>
      </c>
      <c r="B13" s="19">
        <v>460</v>
      </c>
      <c r="C13" s="19">
        <v>1605</v>
      </c>
      <c r="D13" s="25">
        <v>-2133.0500000000002</v>
      </c>
      <c r="E13" s="25">
        <v>-2041.95</v>
      </c>
      <c r="F13" s="25">
        <v>-2222.8000000000002</v>
      </c>
      <c r="G13" s="25">
        <v>-2733.56</v>
      </c>
      <c r="H13" s="25">
        <v>-2708.92</v>
      </c>
      <c r="I13" s="26" t="s">
        <v>198</v>
      </c>
      <c r="J13" s="26" t="s">
        <v>198</v>
      </c>
      <c r="K13" s="26" t="s">
        <v>198</v>
      </c>
      <c r="L13" s="26" t="s">
        <v>198</v>
      </c>
    </row>
    <row r="14" spans="1:12" ht="16" x14ac:dyDescent="0.2">
      <c r="A14" s="27" t="s">
        <v>125</v>
      </c>
      <c r="B14" s="17">
        <v>5.7</v>
      </c>
      <c r="C14" s="17">
        <v>6.7</v>
      </c>
      <c r="D14" s="17">
        <v>7.9</v>
      </c>
      <c r="E14" s="17">
        <v>7</v>
      </c>
      <c r="F14" s="17">
        <v>7.3</v>
      </c>
      <c r="G14" s="17">
        <v>7.18</v>
      </c>
      <c r="H14" s="17">
        <v>7.15</v>
      </c>
      <c r="I14" s="17">
        <v>7</v>
      </c>
      <c r="J14" s="17">
        <v>7</v>
      </c>
      <c r="K14" s="27" t="s">
        <v>198</v>
      </c>
      <c r="L14" s="27" t="s">
        <v>198</v>
      </c>
    </row>
    <row r="15" spans="1:12" ht="16" x14ac:dyDescent="0.2">
      <c r="A15" s="26" t="s">
        <v>223</v>
      </c>
      <c r="B15" s="25">
        <v>-7805</v>
      </c>
      <c r="C15" s="25">
        <v>-5314.5</v>
      </c>
      <c r="D15" s="25">
        <v>-8698.85</v>
      </c>
      <c r="E15" s="25">
        <v>-7987.8</v>
      </c>
      <c r="F15" s="25">
        <v>-7445.25</v>
      </c>
      <c r="G15" s="25">
        <v>-7395.85</v>
      </c>
      <c r="H15" s="25">
        <v>-7458.18</v>
      </c>
      <c r="I15" s="25">
        <v>-6670.97</v>
      </c>
      <c r="J15" s="25">
        <v>-9398</v>
      </c>
      <c r="K15" s="26" t="s">
        <v>198</v>
      </c>
      <c r="L15" s="26" t="s">
        <v>198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F3A8D-80D6-9D44-9FD1-880899E3E40D}">
  <dimension ref="A1:L10"/>
  <sheetViews>
    <sheetView zoomScale="239" workbookViewId="0">
      <selection activeCell="B11" sqref="B11"/>
    </sheetView>
  </sheetViews>
  <sheetFormatPr baseColWidth="10" defaultColWidth="9.1640625" defaultRowHeight="15" customHeight="1" x14ac:dyDescent="0.2"/>
  <cols>
    <col min="1" max="1" width="23.6640625" customWidth="1"/>
    <col min="2" max="6" width="7.83203125" customWidth="1"/>
    <col min="7" max="12" width="9" customWidth="1"/>
  </cols>
  <sheetData>
    <row r="1" spans="1:12" ht="16" x14ac:dyDescent="0.2">
      <c r="A1" s="9" t="s">
        <v>184</v>
      </c>
    </row>
    <row r="2" spans="1:12" ht="16" x14ac:dyDescent="0.2">
      <c r="A2" t="s">
        <v>224</v>
      </c>
    </row>
    <row r="3" spans="1:12" ht="16" x14ac:dyDescent="0.2">
      <c r="A3" s="12"/>
      <c r="B3" s="12" t="s">
        <v>186</v>
      </c>
      <c r="C3" s="12" t="s">
        <v>187</v>
      </c>
      <c r="D3" s="12" t="s">
        <v>188</v>
      </c>
      <c r="E3" s="12" t="s">
        <v>189</v>
      </c>
      <c r="F3" s="12" t="s">
        <v>190</v>
      </c>
      <c r="G3" s="12" t="s">
        <v>191</v>
      </c>
      <c r="H3" s="12" t="s">
        <v>192</v>
      </c>
      <c r="I3" s="12" t="s">
        <v>193</v>
      </c>
      <c r="J3" s="12" t="s">
        <v>194</v>
      </c>
      <c r="K3" s="12" t="s">
        <v>195</v>
      </c>
      <c r="L3" s="12" t="s">
        <v>196</v>
      </c>
    </row>
    <row r="4" spans="1:12" ht="16" x14ac:dyDescent="0.2">
      <c r="A4" s="27" t="s">
        <v>155</v>
      </c>
      <c r="B4" s="17">
        <v>1483.6</v>
      </c>
      <c r="C4" s="17">
        <v>1470</v>
      </c>
      <c r="D4" s="17">
        <v>1841.3</v>
      </c>
      <c r="E4" s="17">
        <v>2333.6</v>
      </c>
      <c r="F4" s="17">
        <v>2777.5</v>
      </c>
      <c r="G4" s="17">
        <v>2707.57</v>
      </c>
      <c r="H4" s="17">
        <v>2978.22</v>
      </c>
      <c r="I4" s="17">
        <v>3359.48</v>
      </c>
      <c r="J4" s="17">
        <v>3833</v>
      </c>
      <c r="K4" s="27" t="s">
        <v>198</v>
      </c>
      <c r="L4" s="27" t="s">
        <v>198</v>
      </c>
    </row>
    <row r="5" spans="1:12" ht="16" x14ac:dyDescent="0.2">
      <c r="A5" s="26" t="s">
        <v>199</v>
      </c>
      <c r="B5" s="19">
        <v>1500</v>
      </c>
      <c r="C5" s="19">
        <v>1700</v>
      </c>
      <c r="D5" s="26" t="s">
        <v>198</v>
      </c>
      <c r="E5" s="19">
        <v>2500</v>
      </c>
      <c r="F5" s="19">
        <v>3000</v>
      </c>
      <c r="G5" s="26" t="s">
        <v>198</v>
      </c>
      <c r="H5" s="26" t="s">
        <v>198</v>
      </c>
      <c r="I5" s="26" t="s">
        <v>198</v>
      </c>
      <c r="J5" s="26" t="s">
        <v>198</v>
      </c>
      <c r="K5" s="26" t="s">
        <v>198</v>
      </c>
      <c r="L5" s="26" t="s">
        <v>198</v>
      </c>
    </row>
    <row r="6" spans="1:12" ht="16" x14ac:dyDescent="0.2">
      <c r="A6" s="27" t="s">
        <v>181</v>
      </c>
      <c r="B6" s="17">
        <v>114.2</v>
      </c>
      <c r="C6" s="17">
        <v>4519</v>
      </c>
      <c r="D6" s="17">
        <v>2556</v>
      </c>
      <c r="E6" s="17">
        <v>3675.1</v>
      </c>
      <c r="F6" s="17">
        <v>3318.1</v>
      </c>
      <c r="G6" s="17">
        <v>3389.53</v>
      </c>
      <c r="H6" s="17">
        <v>3871.72</v>
      </c>
      <c r="I6" s="17">
        <v>4034.89</v>
      </c>
      <c r="J6" s="27" t="s">
        <v>198</v>
      </c>
      <c r="K6" s="27" t="s">
        <v>198</v>
      </c>
      <c r="L6" s="27" t="s">
        <v>198</v>
      </c>
    </row>
    <row r="7" spans="1:12" ht="16" x14ac:dyDescent="0.2">
      <c r="A7" s="26" t="s">
        <v>225</v>
      </c>
      <c r="B7" s="19">
        <v>1597.9</v>
      </c>
      <c r="C7" s="19">
        <v>5989.1</v>
      </c>
      <c r="D7" s="19">
        <v>4397</v>
      </c>
      <c r="E7" s="19">
        <v>6008.85</v>
      </c>
      <c r="F7" s="19">
        <v>6095.8</v>
      </c>
      <c r="G7" s="19">
        <v>5740.85</v>
      </c>
      <c r="H7" s="19">
        <v>6660.04</v>
      </c>
      <c r="I7" s="19">
        <v>7766.15</v>
      </c>
      <c r="J7" s="19">
        <v>9490</v>
      </c>
      <c r="K7" s="26" t="s">
        <v>198</v>
      </c>
      <c r="L7" s="26" t="s">
        <v>198</v>
      </c>
    </row>
    <row r="8" spans="1:12" ht="16" x14ac:dyDescent="0.2">
      <c r="A8" s="27" t="s">
        <v>226</v>
      </c>
      <c r="B8" s="32">
        <v>-1711.5</v>
      </c>
      <c r="C8" s="32">
        <v>-319.5</v>
      </c>
      <c r="D8" s="32">
        <v>-2146.3000000000002</v>
      </c>
      <c r="E8" s="32">
        <v>-2270.8000000000002</v>
      </c>
      <c r="F8" s="32">
        <v>-2699.2</v>
      </c>
      <c r="G8" s="32">
        <v>-2795.06</v>
      </c>
      <c r="H8" s="32">
        <v>-3170</v>
      </c>
      <c r="I8" s="32">
        <v>-3644.5</v>
      </c>
      <c r="J8" s="32">
        <v>-3877</v>
      </c>
      <c r="K8" s="27" t="s">
        <v>198</v>
      </c>
      <c r="L8" s="27" t="s">
        <v>198</v>
      </c>
    </row>
    <row r="9" spans="1:12" ht="16" x14ac:dyDescent="0.2">
      <c r="A9" s="26" t="s">
        <v>227</v>
      </c>
      <c r="B9" s="19">
        <v>1713.3</v>
      </c>
      <c r="C9" s="25">
        <v>-3651</v>
      </c>
      <c r="D9" s="25">
        <v>-5638</v>
      </c>
      <c r="E9" s="25">
        <v>-2990.6</v>
      </c>
      <c r="F9" s="25">
        <v>-3718.2</v>
      </c>
      <c r="G9" s="25">
        <v>-3344.38</v>
      </c>
      <c r="H9" s="25">
        <v>-2791.68</v>
      </c>
      <c r="I9" s="25">
        <v>-2768.05</v>
      </c>
      <c r="J9" s="25">
        <v>-3784</v>
      </c>
      <c r="K9" s="26" t="s">
        <v>198</v>
      </c>
      <c r="L9" s="26" t="s">
        <v>198</v>
      </c>
    </row>
    <row r="10" spans="1:12" ht="15" customHeight="1" x14ac:dyDescent="0.2">
      <c r="B10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Legend</vt:lpstr>
      <vt:lpstr>Comp analysis</vt:lpstr>
      <vt:lpstr>WACC</vt:lpstr>
      <vt:lpstr>DCF model</vt:lpstr>
      <vt:lpstr>RAW DATA &gt;&gt;</vt:lpstr>
      <vt:lpstr>CFS</vt:lpstr>
      <vt:lpstr>BS</vt:lpstr>
      <vt:lpstr>IS</vt:lpstr>
      <vt:lpstr>IS Estimates</vt:lpstr>
      <vt:lpstr>BS Estimates</vt:lpstr>
      <vt:lpstr>CFS Estimates</vt:lpstr>
      <vt:lpstr>Beta_e</vt:lpstr>
      <vt:lpstr>D</vt:lpstr>
      <vt:lpstr>E</vt:lpstr>
      <vt:lpstr>Equity_ratio</vt:lpstr>
      <vt:lpstr>Leverage</vt:lpstr>
      <vt:lpstr>MRP</vt:lpstr>
      <vt:lpstr>Rd</vt:lpstr>
      <vt:lpstr>Re</vt:lpstr>
      <vt:lpstr>Rf</vt:lpstr>
      <vt:lpstr>scenario</vt:lpstr>
      <vt:lpstr>Tax_shield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Manfredi</dc:creator>
  <cp:lastModifiedBy>Pietro Manfredi</cp:lastModifiedBy>
  <dcterms:created xsi:type="dcterms:W3CDTF">2024-11-01T15:34:51Z</dcterms:created>
  <dcterms:modified xsi:type="dcterms:W3CDTF">2024-11-05T20:09:18Z</dcterms:modified>
</cp:coreProperties>
</file>