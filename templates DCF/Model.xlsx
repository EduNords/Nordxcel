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romanfredi/Desktop/"/>
    </mc:Choice>
  </mc:AlternateContent>
  <xr:revisionPtr revIDLastSave="0" documentId="13_ncr:1_{8911646B-993A-544E-8FE7-1522F2030934}" xr6:coauthVersionLast="47" xr6:coauthVersionMax="47" xr10:uidLastSave="{00000000-0000-0000-0000-000000000000}"/>
  <bookViews>
    <workbookView xWindow="0" yWindow="720" windowWidth="29400" windowHeight="18400" activeTab="1" xr2:uid="{2AE60359-9C91-C747-B9BC-22BA7C93C4A8}"/>
  </bookViews>
  <sheets>
    <sheet name="Agenda" sheetId="1" r:id="rId1"/>
    <sheet name="DCF model" sheetId="2" r:id="rId2"/>
    <sheet name="INPUT&gt;&gt;" sheetId="3" r:id="rId3"/>
    <sheet name="WACC" sheetId="7" r:id="rId4"/>
    <sheet name="Estimates IS" sheetId="5" r:id="rId5"/>
    <sheet name="IS" sheetId="4" r:id="rId6"/>
    <sheet name="BS" sheetId="6" r:id="rId7"/>
  </sheets>
  <definedNames>
    <definedName name="D">WACC!$D$15</definedName>
    <definedName name="D_perc">WACC!$D$17</definedName>
    <definedName name="E">WACC!$D$14</definedName>
    <definedName name="E_perc">WACC!$D$16</definedName>
    <definedName name="kd">WACC!$D$19</definedName>
    <definedName name="ke">WACC!$D$12</definedName>
    <definedName name="_xlnm.Print_Area" localSheetId="1">'DCF model'!$B$2:$S$114</definedName>
    <definedName name="scen">'DCF model'!$E$16</definedName>
    <definedName name="Tax_shield">WACC!$D$18</definedName>
    <definedName name="Tax_shielf">WACC!$D$18</definedName>
    <definedName name="Tgr">'DCF model'!$E$18</definedName>
    <definedName name="wacc">'DCF model'!$E$17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7" i="2" l="1"/>
  <c r="R95" i="2"/>
  <c r="R94" i="2"/>
  <c r="E18" i="2"/>
  <c r="D15" i="7" l="1"/>
  <c r="D17" i="7" s="1"/>
  <c r="D16" i="7"/>
  <c r="D12" i="7"/>
  <c r="D19" i="7" l="1"/>
  <c r="M85" i="2"/>
  <c r="N86" i="2" s="1"/>
  <c r="O86" i="2" s="1"/>
  <c r="P86" i="2" s="1"/>
  <c r="Q86" i="2" s="1"/>
  <c r="R86" i="2" s="1"/>
  <c r="N84" i="2"/>
  <c r="O84" i="2" s="1"/>
  <c r="P84" i="2" s="1"/>
  <c r="Q84" i="2" s="1"/>
  <c r="R84" i="2" s="1"/>
  <c r="I108" i="2"/>
  <c r="I110" i="2" s="1"/>
  <c r="J108" i="2"/>
  <c r="K108" i="2"/>
  <c r="L108" i="2"/>
  <c r="L110" i="2" s="1"/>
  <c r="H108" i="2"/>
  <c r="H110" i="2" s="1"/>
  <c r="I104" i="2"/>
  <c r="J104" i="2"/>
  <c r="J106" i="2" s="1"/>
  <c r="K104" i="2"/>
  <c r="L104" i="2"/>
  <c r="H104" i="2"/>
  <c r="I102" i="2"/>
  <c r="J102" i="2"/>
  <c r="K102" i="2"/>
  <c r="K103" i="2" s="1"/>
  <c r="L102" i="2"/>
  <c r="H102" i="2"/>
  <c r="H103" i="2" s="1"/>
  <c r="N80" i="2"/>
  <c r="O80" i="2"/>
  <c r="P80" i="2"/>
  <c r="Q80" i="2"/>
  <c r="R80" i="2"/>
  <c r="M80" i="2"/>
  <c r="M25" i="5"/>
  <c r="L25" i="5"/>
  <c r="M27" i="5"/>
  <c r="L27" i="5"/>
  <c r="K27" i="5"/>
  <c r="J27" i="5"/>
  <c r="F27" i="5"/>
  <c r="E27" i="5"/>
  <c r="G27" i="5"/>
  <c r="H27" i="5"/>
  <c r="I27" i="5"/>
  <c r="D27" i="5"/>
  <c r="K26" i="5"/>
  <c r="J26" i="5"/>
  <c r="I26" i="5"/>
  <c r="H26" i="5"/>
  <c r="G26" i="5"/>
  <c r="F26" i="5"/>
  <c r="E26" i="5"/>
  <c r="D26" i="5"/>
  <c r="C26" i="5"/>
  <c r="I20" i="5"/>
  <c r="J20" i="5"/>
  <c r="K20" i="5"/>
  <c r="L20" i="5"/>
  <c r="M20" i="5"/>
  <c r="H20" i="5"/>
  <c r="Q53" i="2"/>
  <c r="Q55" i="2" s="1"/>
  <c r="N53" i="2"/>
  <c r="N55" i="2" s="1"/>
  <c r="O53" i="2"/>
  <c r="O55" i="2" s="1"/>
  <c r="P53" i="2"/>
  <c r="P52" i="2" s="1"/>
  <c r="R53" i="2"/>
  <c r="R55" i="2" s="1"/>
  <c r="M53" i="2"/>
  <c r="M54" i="2" s="1"/>
  <c r="N54" i="2" s="1"/>
  <c r="O54" i="2" s="1"/>
  <c r="P54" i="2" s="1"/>
  <c r="Q54" i="2" s="1"/>
  <c r="R54" i="2" s="1"/>
  <c r="I18" i="5"/>
  <c r="J18" i="5"/>
  <c r="K18" i="5"/>
  <c r="L18" i="5"/>
  <c r="M18" i="5"/>
  <c r="H18" i="5"/>
  <c r="I17" i="5"/>
  <c r="J17" i="5"/>
  <c r="K17" i="5"/>
  <c r="L17" i="5"/>
  <c r="M17" i="5"/>
  <c r="H17" i="5"/>
  <c r="P38" i="2"/>
  <c r="P37" i="2" s="1"/>
  <c r="I15" i="5"/>
  <c r="J15" i="5"/>
  <c r="K15" i="5"/>
  <c r="L15" i="5"/>
  <c r="M15" i="5"/>
  <c r="H15" i="5"/>
  <c r="N47" i="2"/>
  <c r="N46" i="2" s="1"/>
  <c r="O47" i="2"/>
  <c r="O46" i="2" s="1"/>
  <c r="P47" i="2"/>
  <c r="P46" i="2" s="1"/>
  <c r="Q47" i="2"/>
  <c r="Q46" i="2" s="1"/>
  <c r="R47" i="2"/>
  <c r="R48" i="2" s="1"/>
  <c r="M47" i="2"/>
  <c r="M46" i="2" s="1"/>
  <c r="I14" i="5"/>
  <c r="J14" i="5"/>
  <c r="K14" i="5"/>
  <c r="L14" i="5"/>
  <c r="M14" i="5"/>
  <c r="H14" i="5"/>
  <c r="O37" i="2"/>
  <c r="N40" i="2"/>
  <c r="O40" i="2" s="1"/>
  <c r="P40" i="2" s="1"/>
  <c r="Q40" i="2" s="1"/>
  <c r="R40" i="2" s="1"/>
  <c r="M31" i="2"/>
  <c r="N31" i="2" s="1"/>
  <c r="M30" i="2"/>
  <c r="N30" i="2" s="1"/>
  <c r="O30" i="2" s="1"/>
  <c r="P30" i="2" s="1"/>
  <c r="Q30" i="2" s="1"/>
  <c r="R30" i="2" s="1"/>
  <c r="N29" i="2"/>
  <c r="O29" i="2" s="1"/>
  <c r="M28" i="2"/>
  <c r="O12" i="4"/>
  <c r="O11" i="4"/>
  <c r="I66" i="2"/>
  <c r="J66" i="2"/>
  <c r="K66" i="2"/>
  <c r="L66" i="2"/>
  <c r="H66" i="2"/>
  <c r="I60" i="2"/>
  <c r="J60" i="2"/>
  <c r="K60" i="2"/>
  <c r="L60" i="2"/>
  <c r="H60" i="2"/>
  <c r="I51" i="2"/>
  <c r="J51" i="2"/>
  <c r="K51" i="2"/>
  <c r="L51" i="2"/>
  <c r="H51" i="2"/>
  <c r="I42" i="2"/>
  <c r="J42" i="2"/>
  <c r="K42" i="2"/>
  <c r="L42" i="2"/>
  <c r="H42" i="2"/>
  <c r="I33" i="2"/>
  <c r="J33" i="2"/>
  <c r="K33" i="2"/>
  <c r="L33" i="2"/>
  <c r="H33" i="2"/>
  <c r="I27" i="2"/>
  <c r="J27" i="2"/>
  <c r="K27" i="2"/>
  <c r="L27" i="2"/>
  <c r="L105" i="2" s="1"/>
  <c r="H27" i="2"/>
  <c r="E10" i="2"/>
  <c r="I75" i="2"/>
  <c r="J75" i="2" s="1"/>
  <c r="K75" i="2" s="1"/>
  <c r="L75" i="2" s="1"/>
  <c r="I26" i="2"/>
  <c r="J26" i="2" s="1"/>
  <c r="K26" i="2" s="1"/>
  <c r="L26" i="2" s="1"/>
  <c r="M26" i="2" s="1"/>
  <c r="N26" i="2" s="1"/>
  <c r="O26" i="2" s="1"/>
  <c r="P26" i="2" s="1"/>
  <c r="Q26" i="2" s="1"/>
  <c r="R26" i="2" s="1"/>
  <c r="H106" i="2" l="1"/>
  <c r="K106" i="2"/>
  <c r="N85" i="2"/>
  <c r="O85" i="2" s="1"/>
  <c r="P85" i="2" s="1"/>
  <c r="Q85" i="2" s="1"/>
  <c r="R85" i="2" s="1"/>
  <c r="J103" i="2"/>
  <c r="I103" i="2"/>
  <c r="K109" i="2"/>
  <c r="H105" i="2"/>
  <c r="J109" i="2"/>
  <c r="M86" i="2"/>
  <c r="I105" i="2"/>
  <c r="L106" i="2"/>
  <c r="L112" i="2" s="1"/>
  <c r="L113" i="2" s="1"/>
  <c r="I109" i="2"/>
  <c r="K110" i="2"/>
  <c r="J105" i="2"/>
  <c r="M105" i="2" s="1"/>
  <c r="N105" i="2" s="1"/>
  <c r="O105" i="2" s="1"/>
  <c r="P105" i="2" s="1"/>
  <c r="Q105" i="2" s="1"/>
  <c r="R105" i="2" s="1"/>
  <c r="J110" i="2"/>
  <c r="J112" i="2" s="1"/>
  <c r="J113" i="2" s="1"/>
  <c r="K105" i="2"/>
  <c r="L103" i="2"/>
  <c r="H109" i="2"/>
  <c r="L109" i="2"/>
  <c r="M109" i="2" s="1"/>
  <c r="N109" i="2" s="1"/>
  <c r="O109" i="2" s="1"/>
  <c r="P109" i="2" s="1"/>
  <c r="Q109" i="2" s="1"/>
  <c r="R109" i="2" s="1"/>
  <c r="M75" i="2"/>
  <c r="N75" i="2" s="1"/>
  <c r="O75" i="2" s="1"/>
  <c r="P75" i="2" s="1"/>
  <c r="Q75" i="2" s="1"/>
  <c r="R75" i="2" s="1"/>
  <c r="I106" i="2"/>
  <c r="I112" i="2" s="1"/>
  <c r="K112" i="2"/>
  <c r="H112" i="2"/>
  <c r="M49" i="2"/>
  <c r="Q52" i="2"/>
  <c r="H61" i="2"/>
  <c r="R52" i="2"/>
  <c r="Q38" i="2"/>
  <c r="R38" i="2" s="1"/>
  <c r="R37" i="2" s="1"/>
  <c r="K61" i="2"/>
  <c r="O52" i="2"/>
  <c r="L61" i="2"/>
  <c r="M61" i="2" s="1"/>
  <c r="N61" i="2" s="1"/>
  <c r="O61" i="2" s="1"/>
  <c r="P61" i="2" s="1"/>
  <c r="Q61" i="2" s="1"/>
  <c r="R61" i="2" s="1"/>
  <c r="J61" i="2"/>
  <c r="I43" i="2"/>
  <c r="R49" i="2"/>
  <c r="N52" i="2"/>
  <c r="I61" i="2"/>
  <c r="H43" i="2"/>
  <c r="K43" i="2"/>
  <c r="M55" i="2"/>
  <c r="J43" i="2"/>
  <c r="P55" i="2"/>
  <c r="M52" i="2"/>
  <c r="L43" i="2"/>
  <c r="R46" i="2"/>
  <c r="M48" i="2"/>
  <c r="N48" i="2" s="1"/>
  <c r="O48" i="2" s="1"/>
  <c r="P48" i="2" s="1"/>
  <c r="Q48" i="2" s="1"/>
  <c r="O31" i="2"/>
  <c r="P31" i="2" s="1"/>
  <c r="Q31" i="2" s="1"/>
  <c r="R31" i="2" s="1"/>
  <c r="N28" i="2"/>
  <c r="P29" i="2"/>
  <c r="Q29" i="2" s="1"/>
  <c r="O28" i="2"/>
  <c r="L35" i="2"/>
  <c r="L36" i="2" s="1"/>
  <c r="H52" i="2"/>
  <c r="J52" i="2"/>
  <c r="I35" i="2"/>
  <c r="I36" i="2" s="1"/>
  <c r="K28" i="2"/>
  <c r="I52" i="2"/>
  <c r="J28" i="2"/>
  <c r="H35" i="2"/>
  <c r="H36" i="2" s="1"/>
  <c r="L52" i="2"/>
  <c r="K52" i="2"/>
  <c r="I28" i="2"/>
  <c r="K35" i="2"/>
  <c r="J35" i="2"/>
  <c r="L28" i="2"/>
  <c r="K113" i="2" l="1"/>
  <c r="M103" i="2"/>
  <c r="N103" i="2" s="1"/>
  <c r="O103" i="2" s="1"/>
  <c r="P103" i="2" s="1"/>
  <c r="Q103" i="2" s="1"/>
  <c r="R103" i="2" s="1"/>
  <c r="N49" i="2"/>
  <c r="O49" i="2" s="1"/>
  <c r="P49" i="2" s="1"/>
  <c r="Q49" i="2" s="1"/>
  <c r="I113" i="2"/>
  <c r="Q37" i="2"/>
  <c r="I37" i="2"/>
  <c r="P28" i="2"/>
  <c r="L45" i="2"/>
  <c r="Q28" i="2"/>
  <c r="R29" i="2"/>
  <c r="R28" i="2" s="1"/>
  <c r="I45" i="2"/>
  <c r="I46" i="2" s="1"/>
  <c r="H45" i="2"/>
  <c r="H46" i="2" s="1"/>
  <c r="J36" i="2"/>
  <c r="J37" i="2" s="1"/>
  <c r="J45" i="2"/>
  <c r="K36" i="2"/>
  <c r="K45" i="2"/>
  <c r="K37" i="2" l="1"/>
  <c r="L46" i="2"/>
  <c r="L57" i="2"/>
  <c r="L63" i="2" s="1"/>
  <c r="H57" i="2"/>
  <c r="H58" i="2" s="1"/>
  <c r="L37" i="2"/>
  <c r="I57" i="2"/>
  <c r="I58" i="2" s="1"/>
  <c r="H63" i="2"/>
  <c r="J46" i="2"/>
  <c r="J57" i="2"/>
  <c r="K46" i="2"/>
  <c r="K57" i="2"/>
  <c r="L58" i="2" l="1"/>
  <c r="M38" i="2"/>
  <c r="M37" i="2" s="1"/>
  <c r="M36" i="2" s="1"/>
  <c r="M39" i="2"/>
  <c r="N39" i="2" s="1"/>
  <c r="O39" i="2" s="1"/>
  <c r="N37" i="2"/>
  <c r="I63" i="2"/>
  <c r="I67" i="2" s="1"/>
  <c r="L64" i="2"/>
  <c r="L69" i="2"/>
  <c r="L70" i="2" s="1"/>
  <c r="L67" i="2"/>
  <c r="H64" i="2"/>
  <c r="H69" i="2"/>
  <c r="H70" i="2" s="1"/>
  <c r="H67" i="2"/>
  <c r="J58" i="2"/>
  <c r="J63" i="2"/>
  <c r="K58" i="2"/>
  <c r="K63" i="2"/>
  <c r="I64" i="2" l="1"/>
  <c r="I69" i="2"/>
  <c r="I70" i="2" s="1"/>
  <c r="N36" i="2"/>
  <c r="O36" i="2" s="1"/>
  <c r="P36" i="2" s="1"/>
  <c r="Q36" i="2" s="1"/>
  <c r="R36" i="2" s="1"/>
  <c r="K64" i="2"/>
  <c r="K69" i="2"/>
  <c r="K70" i="2" s="1"/>
  <c r="K67" i="2"/>
  <c r="J64" i="2"/>
  <c r="J69" i="2"/>
  <c r="J70" i="2" s="1"/>
  <c r="J67" i="2"/>
  <c r="M27" i="2"/>
  <c r="M102" i="2" l="1"/>
  <c r="M104" i="2"/>
  <c r="M67" i="2"/>
  <c r="M51" i="2"/>
  <c r="M79" i="2" s="1"/>
  <c r="M60" i="2"/>
  <c r="M35" i="2"/>
  <c r="M33" i="2" s="1"/>
  <c r="M108" i="2" s="1"/>
  <c r="M110" i="2" s="1"/>
  <c r="M45" i="2"/>
  <c r="N27" i="2"/>
  <c r="N104" i="2" s="1"/>
  <c r="M77" i="2" l="1"/>
  <c r="D18" i="7"/>
  <c r="D21" i="7" s="1"/>
  <c r="M20" i="2" s="1"/>
  <c r="E17" i="2" s="1"/>
  <c r="M106" i="2"/>
  <c r="M112" i="2" s="1"/>
  <c r="M113" i="2" s="1"/>
  <c r="M81" i="2" s="1"/>
  <c r="N60" i="2"/>
  <c r="N102" i="2"/>
  <c r="N67" i="2"/>
  <c r="N77" i="2"/>
  <c r="O67" i="2"/>
  <c r="M57" i="2"/>
  <c r="N45" i="2"/>
  <c r="N51" i="2"/>
  <c r="N79" i="2" s="1"/>
  <c r="M42" i="2"/>
  <c r="M43" i="2" s="1"/>
  <c r="O27" i="2"/>
  <c r="O104" i="2" s="1"/>
  <c r="N35" i="2"/>
  <c r="N33" i="2" s="1"/>
  <c r="N108" i="2" s="1"/>
  <c r="N110" i="2" s="1"/>
  <c r="N106" i="2" l="1"/>
  <c r="N112" i="2" s="1"/>
  <c r="N113" i="2" s="1"/>
  <c r="N81" i="2" s="1"/>
  <c r="O60" i="2"/>
  <c r="O102" i="2"/>
  <c r="O106" i="2" s="1"/>
  <c r="P67" i="2"/>
  <c r="O77" i="2"/>
  <c r="M58" i="2"/>
  <c r="M76" i="2"/>
  <c r="M78" i="2" s="1"/>
  <c r="M82" i="2" s="1"/>
  <c r="M88" i="2" s="1"/>
  <c r="M63" i="2"/>
  <c r="M64" i="2" s="1"/>
  <c r="N57" i="2"/>
  <c r="N76" i="2" s="1"/>
  <c r="N78" i="2" s="1"/>
  <c r="O45" i="2"/>
  <c r="O51" i="2"/>
  <c r="O79" i="2" s="1"/>
  <c r="N42" i="2"/>
  <c r="N43" i="2" s="1"/>
  <c r="P27" i="2"/>
  <c r="P104" i="2" s="1"/>
  <c r="O35" i="2"/>
  <c r="O33" i="2" s="1"/>
  <c r="O108" i="2" s="1"/>
  <c r="O110" i="2" s="1"/>
  <c r="O112" i="2" l="1"/>
  <c r="O113" i="2" s="1"/>
  <c r="O81" i="2" s="1"/>
  <c r="N82" i="2"/>
  <c r="N88" i="2" s="1"/>
  <c r="P60" i="2"/>
  <c r="P102" i="2"/>
  <c r="P106" i="2" s="1"/>
  <c r="Q67" i="2"/>
  <c r="P77" i="2"/>
  <c r="M66" i="2"/>
  <c r="M69" i="2" s="1"/>
  <c r="M70" i="2" s="1"/>
  <c r="N58" i="2"/>
  <c r="N63" i="2"/>
  <c r="O57" i="2"/>
  <c r="O76" i="2" s="1"/>
  <c r="O78" i="2" s="1"/>
  <c r="P45" i="2"/>
  <c r="P51" i="2"/>
  <c r="P79" i="2" s="1"/>
  <c r="O42" i="2"/>
  <c r="O43" i="2" s="1"/>
  <c r="Q27" i="2"/>
  <c r="Q104" i="2" s="1"/>
  <c r="P35" i="2"/>
  <c r="P33" i="2" s="1"/>
  <c r="P108" i="2" s="1"/>
  <c r="P110" i="2" s="1"/>
  <c r="O82" i="2" l="1"/>
  <c r="O88" i="2" s="1"/>
  <c r="P112" i="2"/>
  <c r="P113" i="2" s="1"/>
  <c r="P81" i="2" s="1"/>
  <c r="Q60" i="2"/>
  <c r="Q102" i="2"/>
  <c r="Q106" i="2" s="1"/>
  <c r="R67" i="2"/>
  <c r="R77" i="2" s="1"/>
  <c r="Q77" i="2"/>
  <c r="N64" i="2"/>
  <c r="N66" i="2"/>
  <c r="N69" i="2" s="1"/>
  <c r="N70" i="2" s="1"/>
  <c r="O58" i="2"/>
  <c r="O63" i="2"/>
  <c r="P57" i="2"/>
  <c r="P76" i="2" s="1"/>
  <c r="P78" i="2" s="1"/>
  <c r="Q45" i="2"/>
  <c r="Q51" i="2"/>
  <c r="Q79" i="2" s="1"/>
  <c r="P42" i="2"/>
  <c r="P43" i="2" s="1"/>
  <c r="R27" i="2"/>
  <c r="Q35" i="2"/>
  <c r="Q33" i="2" s="1"/>
  <c r="Q108" i="2" s="1"/>
  <c r="Q110" i="2" s="1"/>
  <c r="P82" i="2" l="1"/>
  <c r="P88" i="2" s="1"/>
  <c r="Q112" i="2"/>
  <c r="Q113" i="2" s="1"/>
  <c r="Q81" i="2" s="1"/>
  <c r="R102" i="2"/>
  <c r="R104" i="2"/>
  <c r="O64" i="2"/>
  <c r="O66" i="2"/>
  <c r="O69" i="2" s="1"/>
  <c r="O70" i="2" s="1"/>
  <c r="P58" i="2"/>
  <c r="P63" i="2"/>
  <c r="R51" i="2"/>
  <c r="R79" i="2" s="1"/>
  <c r="R60" i="2"/>
  <c r="Q57" i="2"/>
  <c r="Q76" i="2" s="1"/>
  <c r="Q78" i="2" s="1"/>
  <c r="Q42" i="2"/>
  <c r="Q43" i="2" s="1"/>
  <c r="R35" i="2"/>
  <c r="R33" i="2" s="1"/>
  <c r="R108" i="2" s="1"/>
  <c r="R110" i="2" s="1"/>
  <c r="R45" i="2"/>
  <c r="Q82" i="2" l="1"/>
  <c r="Q88" i="2" s="1"/>
  <c r="R106" i="2"/>
  <c r="R112" i="2" s="1"/>
  <c r="R113" i="2" s="1"/>
  <c r="R81" i="2" s="1"/>
  <c r="R57" i="2"/>
  <c r="P64" i="2"/>
  <c r="P66" i="2"/>
  <c r="P69" i="2" s="1"/>
  <c r="P70" i="2" s="1"/>
  <c r="Q58" i="2"/>
  <c r="Q63" i="2"/>
  <c r="R42" i="2"/>
  <c r="R43" i="2" s="1"/>
  <c r="R63" i="2" l="1"/>
  <c r="R64" i="2" s="1"/>
  <c r="R76" i="2"/>
  <c r="R78" i="2" s="1"/>
  <c r="R82" i="2" s="1"/>
  <c r="R90" i="2" s="1"/>
  <c r="R91" i="2" s="1"/>
  <c r="R58" i="2"/>
  <c r="Q64" i="2"/>
  <c r="Q66" i="2"/>
  <c r="Q69" i="2" s="1"/>
  <c r="Q70" i="2" s="1"/>
  <c r="R88" i="2" l="1"/>
  <c r="R93" i="2" s="1"/>
  <c r="R96" i="2" s="1"/>
  <c r="R98" i="2" s="1"/>
  <c r="I8" i="2" s="1"/>
  <c r="I9" i="2" s="1"/>
  <c r="R66" i="2"/>
  <c r="R69" i="2" s="1"/>
  <c r="R70" i="2" s="1"/>
</calcChain>
</file>

<file path=xl/sharedStrings.xml><?xml version="1.0" encoding="utf-8"?>
<sst xmlns="http://schemas.openxmlformats.org/spreadsheetml/2006/main" count="337" uniqueCount="238">
  <si>
    <t>Agenda</t>
  </si>
  <si>
    <t>X</t>
  </si>
  <si>
    <t>DCF</t>
  </si>
  <si>
    <t>Comps analysis</t>
  </si>
  <si>
    <t>Football chart</t>
  </si>
  <si>
    <t>Past transactions</t>
  </si>
  <si>
    <t>DCF model</t>
  </si>
  <si>
    <t>Overview</t>
  </si>
  <si>
    <t>•</t>
  </si>
  <si>
    <t>Assumptions</t>
  </si>
  <si>
    <t>Income statement</t>
  </si>
  <si>
    <t>$M</t>
  </si>
  <si>
    <t>Actuals</t>
  </si>
  <si>
    <t>Projections</t>
  </si>
  <si>
    <t>End</t>
  </si>
  <si>
    <t>Ticker</t>
  </si>
  <si>
    <t>Comp name</t>
  </si>
  <si>
    <t>Date</t>
  </si>
  <si>
    <t>Price per share</t>
  </si>
  <si>
    <t>Valuation</t>
  </si>
  <si>
    <t>% delta vs current</t>
  </si>
  <si>
    <t>McDonald's Corporation</t>
  </si>
  <si>
    <t>MCD</t>
  </si>
  <si>
    <t>Triggers</t>
  </si>
  <si>
    <t>Year</t>
  </si>
  <si>
    <t>Amount</t>
  </si>
  <si>
    <t>Conservative</t>
  </si>
  <si>
    <t>Base / Street</t>
  </si>
  <si>
    <t>Optimistic</t>
  </si>
  <si>
    <t>McDonald's Corporation (MCD)</t>
  </si>
  <si>
    <t>$310.45</t>
  </si>
  <si>
    <t xml:space="preserve">MCD   580135101   2550707   NYSE    Common stock    </t>
  </si>
  <si>
    <t>Source: FactSet Fundamentals</t>
  </si>
  <si>
    <t>DEC '15</t>
  </si>
  <si>
    <t>DEC '16</t>
  </si>
  <si>
    <t>DEC '17</t>
  </si>
  <si>
    <t>DEC '18</t>
  </si>
  <si>
    <t>DEC '19</t>
  </si>
  <si>
    <t>DEC '20</t>
  </si>
  <si>
    <t>DEC '21</t>
  </si>
  <si>
    <t>DEC '22</t>
  </si>
  <si>
    <t>DEC '23</t>
  </si>
  <si>
    <t>DEC '24</t>
  </si>
  <si>
    <t>SEP '25</t>
  </si>
  <si>
    <t>LTM</t>
  </si>
  <si>
    <t>Restate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</si>
  <si>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</si>
  <si>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</si>
  <si>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</si>
  <si>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</si>
  <si>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</si>
  <si>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</si>
  <si>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</si>
  <si>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</si>
  <si>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</si>
  <si>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</si>
  <si>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</si>
  <si>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</si>
  <si>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Equity in Earnings of Affiliates</t>
  </si>
  <si>
    <t>Other Income (Expense)</t>
  </si>
  <si>
    <t>Interest Expense</t>
  </si>
  <si>
    <t>Gross Interest Expense</t>
  </si>
  <si>
    <t>Interest Capitalized</t>
  </si>
  <si>
    <t>Unusual Expense - Net</t>
  </si>
  <si>
    <t>Restructuring Expense</t>
  </si>
  <si>
    <t>Unrealized Valuation Gain/Loss</t>
  </si>
  <si>
    <t>Hedges/Derivatives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</si>
  <si>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</si>
  <si>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</si>
  <si>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</si>
  <si>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</si>
  <si>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</si>
  <si>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</si>
  <si>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</si>
  <si>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Net Income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</si>
  <si>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</si>
  <si>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</si>
  <si>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</si>
  <si>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</si>
  <si>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</si>
  <si>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</si>
  <si>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</si>
  <si>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</si>
  <si>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</si>
  <si>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</si>
  <si>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</si>
  <si>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</si>
  <si>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EBIT</t>
  </si>
  <si>
    <t>All figures in millions of Euro except per share items.</t>
  </si>
  <si>
    <t>Revenue</t>
  </si>
  <si>
    <t>% growth</t>
  </si>
  <si>
    <t>COGS</t>
  </si>
  <si>
    <t>% sales</t>
  </si>
  <si>
    <t>Gross profit</t>
  </si>
  <si>
    <t>% margin</t>
  </si>
  <si>
    <t>Opex</t>
  </si>
  <si>
    <t>D&amp;A</t>
  </si>
  <si>
    <t>Interests</t>
  </si>
  <si>
    <t>Taxable income</t>
  </si>
  <si>
    <t>Net income</t>
  </si>
  <si>
    <t>(1-Tax)</t>
  </si>
  <si>
    <t>EBIAT (or NOPAT)</t>
  </si>
  <si>
    <t>Plus D&amp;A</t>
  </si>
  <si>
    <t>Less Capex</t>
  </si>
  <si>
    <t>Less Change in WC</t>
  </si>
  <si>
    <t>Free Cash Flow</t>
  </si>
  <si>
    <t>Mid year convention DP</t>
  </si>
  <si>
    <t>Discounted FCF</t>
  </si>
  <si>
    <t>Terminal value</t>
  </si>
  <si>
    <t>Discounted TV</t>
  </si>
  <si>
    <t>Enterprise value</t>
  </si>
  <si>
    <t>Plus Cash</t>
  </si>
  <si>
    <t>Less Debt</t>
  </si>
  <si>
    <t>Equity value</t>
  </si>
  <si>
    <t>Number of shares</t>
  </si>
  <si>
    <t>Taxes</t>
  </si>
  <si>
    <t>% tax rate</t>
  </si>
  <si>
    <t>fractin of the year recorded</t>
  </si>
  <si>
    <t>calculate with a prop the total of the year</t>
  </si>
  <si>
    <t>MCD-US</t>
  </si>
  <si>
    <t>Income Statement (M)</t>
  </si>
  <si>
    <t>Dec '20</t>
  </si>
  <si>
    <t>Dec '21</t>
  </si>
  <si>
    <t>Dec '22</t>
  </si>
  <si>
    <t>Dec '23</t>
  </si>
  <si>
    <t>Dec '24</t>
  </si>
  <si>
    <t>Dec '25E</t>
  </si>
  <si>
    <t>Dec '26E</t>
  </si>
  <si>
    <t>Dec '27E</t>
  </si>
  <si>
    <t>Dec '28E</t>
  </si>
  <si>
    <t>Dec '29E</t>
  </si>
  <si>
    <t>Dec '30E</t>
  </si>
  <si>
    <t>Cost of Sales</t>
  </si>
  <si>
    <t>-</t>
  </si>
  <si>
    <t>Compensation and Benefits</t>
  </si>
  <si>
    <t>Operating Income</t>
  </si>
  <si>
    <t>Tax Expense</t>
  </si>
  <si>
    <t>1. Base</t>
  </si>
  <si>
    <t>2. Conservative</t>
  </si>
  <si>
    <t>3. Optimistic</t>
  </si>
  <si>
    <t>Scenario</t>
  </si>
  <si>
    <t>25-'30</t>
  </si>
  <si>
    <t>Revenue gr</t>
  </si>
  <si>
    <t>% margin EBITDA</t>
  </si>
  <si>
    <t>EBITDA margin</t>
  </si>
  <si>
    <t>25</t>
  </si>
  <si>
    <t>30</t>
  </si>
  <si>
    <t>Capex</t>
  </si>
  <si>
    <t>Assets</t>
  </si>
  <si>
    <t>Cash &amp; Short-Term Investments</t>
  </si>
  <si>
    <t>Cash Only</t>
  </si>
  <si>
    <t>Short-Term Receivables</t>
  </si>
  <si>
    <t>Accounts Receivables, Net</t>
  </si>
  <si>
    <t>Accounts Receivables, Gross</t>
  </si>
  <si>
    <t>Inventories</t>
  </si>
  <si>
    <t>Finished Goods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</si>
  <si>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</si>
  <si>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</si>
  <si>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</si>
  <si>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</si>
  <si>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</si>
  <si>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</si>
  <si>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</si>
  <si>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</si>
  <si>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</si>
  <si>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</si>
  <si>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</si>
  <si>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</si>
  <si>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</si>
  <si>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</si>
  <si>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Intangible Assets</t>
  </si>
  <si>
    <t>Goodwill</t>
  </si>
  <si>
    <t>Other Intangible Assets</t>
  </si>
  <si>
    <t>Deferred Tax Assets</t>
  </si>
  <si>
    <t>Other Assets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</si>
  <si>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</si>
  <si>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</si>
  <si>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</si>
  <si>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</si>
  <si>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</si>
  <si>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</si>
  <si>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</si>
  <si>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</si>
  <si>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</si>
  <si>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</si>
  <si>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</si>
  <si>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</si>
  <si>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</si>
  <si>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</si>
  <si>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</si>
  <si>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</si>
  <si>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</si>
  <si>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</si>
  <si>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</si>
  <si>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</si>
  <si>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</si>
  <si>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</si>
  <si>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</si>
  <si>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</si>
  <si>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</si>
  <si>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</si>
  <si>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</si>
  <si>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Treasury Stock</t>
  </si>
  <si>
    <t>Total Shareholders' Equity</t>
  </si>
  <si>
    <t>Total Equity</t>
  </si>
  <si>
    <t>Total Liabilities &amp; Shareholders' Equity</t>
  </si>
  <si>
    <t>Book Value per Share</t>
  </si>
  <si>
    <t>Tangible Book Value per Share</t>
  </si>
  <si>
    <t>Working Cap</t>
  </si>
  <si>
    <t>AR</t>
  </si>
  <si>
    <t>inventories</t>
  </si>
  <si>
    <t>Tot current assets</t>
  </si>
  <si>
    <t>AP</t>
  </si>
  <si>
    <t>Tot current liab</t>
  </si>
  <si>
    <t>WC</t>
  </si>
  <si>
    <t>Change in WC</t>
  </si>
  <si>
    <t>% COGS</t>
  </si>
  <si>
    <t>Discount period not corrected</t>
  </si>
  <si>
    <t>Fraction of year left</t>
  </si>
  <si>
    <t>WACC</t>
  </si>
  <si>
    <t>Ke = Rf + Beta * (Rm - Rf)</t>
  </si>
  <si>
    <t>Rm - Rf = MRP</t>
  </si>
  <si>
    <t>WACC =  kE*(E/E+D) + kd * D/D+E * (1-tax)</t>
  </si>
  <si>
    <t>Rf</t>
  </si>
  <si>
    <t>Beta</t>
  </si>
  <si>
    <t>MRP</t>
  </si>
  <si>
    <t>Ke</t>
  </si>
  <si>
    <t>E</t>
  </si>
  <si>
    <t>D</t>
  </si>
  <si>
    <t>E%</t>
  </si>
  <si>
    <t>D%</t>
  </si>
  <si>
    <t>Kd</t>
  </si>
  <si>
    <t>1-Tax</t>
  </si>
  <si>
    <t>10-yr treas yield - google</t>
  </si>
  <si>
    <t>Factset</t>
  </si>
  <si>
    <t>Damodoran</t>
  </si>
  <si>
    <t>BS</t>
  </si>
  <si>
    <t>TGR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</si>
</sst>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[$USD]_-;\-* #,##0.00\ [$USD]_-;_-* &quot;-&quot;??\ [$USD]_-;_-@_-"/>
    <numFmt numFmtId="168" formatCode="#,##0;\(#,##0\);&quot;--&quot;"/>
    <numFmt numFmtId="169" formatCode="0.0%"/>
    <numFmt numFmtId="188" formatCode="#,##0.00;\(#,##0.00\);&quot;--&quot;"/>
    <numFmt numFmtId="189" formatCode="#,##0.000;\(#,##0.000\);&quot;--&quot;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rgb="FFFFFFFF"/>
      <name val="Aptos Narrow"/>
      <scheme val="minor"/>
    </font>
    <font>
      <b/>
      <sz val="20"/>
      <color rgb="FFFFFFFF"/>
      <name val="Aptos Narrow"/>
      <scheme val="minor"/>
    </font>
    <font>
      <i/>
      <u val="singleAccounting"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rgb="FF000000"/>
      <name val="Aptos Narrow"/>
      <scheme val="minor"/>
    </font>
    <font>
      <i/>
      <sz val="12"/>
      <color rgb="FF05B050"/>
      <name val="Aptos Narrow"/>
      <scheme val="minor"/>
    </font>
    <font>
      <sz val="12"/>
      <color rgb="FF05B050"/>
      <name val="Aptos Narrow"/>
      <family val="2"/>
      <scheme val="minor"/>
    </font>
    <font>
      <i/>
      <sz val="12"/>
      <color rgb="FF0432FF"/>
      <name val="Aptos Narrow"/>
      <scheme val="minor"/>
    </font>
    <font>
      <b/>
      <sz val="10"/>
      <color theme="1"/>
      <name val="Arial"/>
      <family val="2"/>
    </font>
    <font>
      <sz val="12"/>
      <color rgb="FF0432FF"/>
      <name val="Aptos Narrow"/>
      <family val="2"/>
      <scheme val="minor"/>
    </font>
    <font>
      <sz val="12"/>
      <color rgb="FF05B05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E27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8C8C8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747474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30">
    <xf numFmtId="0" fontId="0" fillId="0" borderId="0" xfId="0"/>
    <xf numFmtId="0" fontId="0" fillId="0" borderId="2" xfId="0" applyBorder="1"/>
    <xf numFmtId="0" fontId="2" fillId="0" borderId="2" xfId="0" applyFont="1" applyBorder="1"/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5" fillId="4" borderId="0" xfId="0" applyFont="1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5" fillId="5" borderId="0" xfId="0" applyFont="1" applyFill="1" applyAlignment="1">
      <alignment horizontal="centerContinuous"/>
    </xf>
    <xf numFmtId="0" fontId="0" fillId="0" borderId="3" xfId="0" applyBorder="1"/>
    <xf numFmtId="0" fontId="0" fillId="0" borderId="3" xfId="0" applyBorder="1" applyAlignment="1">
      <alignment horizontal="right"/>
    </xf>
    <xf numFmtId="14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9" fontId="0" fillId="0" borderId="4" xfId="0" applyNumberFormat="1" applyBorder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5" xfId="0" applyFont="1" applyBorder="1"/>
    <xf numFmtId="0" fontId="9" fillId="0" borderId="6" xfId="0" applyFont="1" applyBorder="1"/>
    <xf numFmtId="0" fontId="8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0" fillId="0" borderId="0" xfId="0" applyNumberFormat="1" applyFont="1" applyAlignment="1">
      <alignment horizontal="right"/>
    </xf>
    <xf numFmtId="0" fontId="10" fillId="7" borderId="0" xfId="0" applyFont="1" applyFill="1" applyAlignment="1">
      <alignment horizontal="left" indent="3"/>
    </xf>
    <xf numFmtId="3" fontId="10" fillId="7" borderId="0" xfId="0" applyNumberFormat="1" applyFont="1" applyFill="1" applyAlignment="1">
      <alignment horizontal="right"/>
    </xf>
    <xf numFmtId="0" fontId="0" fillId="0" borderId="0" xfId="0" applyAlignment="1">
      <alignment horizontal="left" indent="4"/>
    </xf>
    <xf numFmtId="0" fontId="9" fillId="0" borderId="0" xfId="0" applyFont="1" applyAlignment="1">
      <alignment horizontal="left" indent="4"/>
    </xf>
    <xf numFmtId="3" fontId="9" fillId="0" borderId="0" xfId="0" applyNumberFormat="1" applyFont="1" applyAlignment="1">
      <alignment horizontal="right"/>
    </xf>
    <xf numFmtId="0" fontId="10" fillId="7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9" fillId="0" borderId="0" xfId="0" applyFont="1" applyAlignment="1">
      <alignment horizontal="left" indent="7"/>
    </xf>
    <xf numFmtId="0" fontId="9" fillId="0" borderId="0" xfId="0" applyFont="1" applyAlignment="1">
      <alignment horizontal="left"/>
    </xf>
    <xf numFmtId="0" fontId="9" fillId="7" borderId="0" xfId="0" applyFont="1" applyFill="1" applyAlignment="1">
      <alignment horizontal="left" indent="7"/>
    </xf>
    <xf numFmtId="3" fontId="9" fillId="7" borderId="0" xfId="0" applyNumberFormat="1" applyFont="1" applyFill="1" applyAlignment="1">
      <alignment horizontal="right"/>
    </xf>
    <xf numFmtId="0" fontId="9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 indent="3"/>
    </xf>
    <xf numFmtId="0" fontId="9" fillId="7" borderId="0" xfId="0" applyFont="1" applyFill="1" applyAlignment="1">
      <alignment horizontal="left" indent="4"/>
    </xf>
    <xf numFmtId="3" fontId="11" fillId="0" borderId="0" xfId="0" applyNumberFormat="1" applyFont="1" applyAlignment="1">
      <alignment horizontal="right"/>
    </xf>
    <xf numFmtId="3" fontId="11" fillId="7" borderId="0" xfId="0" applyNumberFormat="1" applyFont="1" applyFill="1" applyAlignment="1">
      <alignment horizontal="right"/>
    </xf>
    <xf numFmtId="0" fontId="9" fillId="7" borderId="0" xfId="0" applyFont="1" applyFill="1" applyAlignment="1">
      <alignment horizontal="left" indent="1"/>
    </xf>
    <xf numFmtId="4" fontId="9" fillId="7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10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4" fontId="10" fillId="7" borderId="0" xfId="0" applyNumberFormat="1" applyFont="1" applyFill="1" applyAlignment="1">
      <alignment horizontal="right"/>
    </xf>
    <xf numFmtId="0" fontId="0" fillId="0" borderId="0" xfId="0" applyAlignment="1">
      <alignment horizontal="left" indent="1"/>
    </xf>
    <xf numFmtId="0" fontId="9" fillId="0" borderId="0" xfId="0" applyFont="1" applyAlignment="1">
      <alignment horizontal="left" inden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 indent="1"/>
    </xf>
    <xf numFmtId="168" fontId="0" fillId="0" borderId="0" xfId="0" applyNumberFormat="1"/>
    <xf numFmtId="168" fontId="13" fillId="0" borderId="0" xfId="0" applyNumberFormat="1" applyFont="1"/>
    <xf numFmtId="168" fontId="0" fillId="3" borderId="0" xfId="0" applyNumberFormat="1" applyFill="1"/>
    <xf numFmtId="168" fontId="0" fillId="4" borderId="0" xfId="0" applyNumberFormat="1" applyFill="1"/>
    <xf numFmtId="168" fontId="5" fillId="4" borderId="0" xfId="0" applyNumberFormat="1" applyFont="1" applyFill="1" applyAlignment="1">
      <alignment horizontal="centerContinuous"/>
    </xf>
    <xf numFmtId="168" fontId="0" fillId="4" borderId="0" xfId="0" applyNumberFormat="1" applyFill="1" applyAlignment="1">
      <alignment horizontal="centerContinuous"/>
    </xf>
    <xf numFmtId="168" fontId="5" fillId="5" borderId="0" xfId="0" applyNumberFormat="1" applyFont="1" applyFill="1" applyAlignment="1">
      <alignment horizontal="centerContinuous"/>
    </xf>
    <xf numFmtId="0" fontId="14" fillId="0" borderId="0" xfId="0" applyFont="1"/>
    <xf numFmtId="9" fontId="13" fillId="0" borderId="0" xfId="0" applyNumberFormat="1" applyFont="1"/>
    <xf numFmtId="168" fontId="7" fillId="0" borderId="0" xfId="0" applyNumberFormat="1" applyFont="1"/>
    <xf numFmtId="9" fontId="10" fillId="0" borderId="0" xfId="0" applyNumberFormat="1" applyFont="1" applyAlignment="1">
      <alignment horizontal="left"/>
    </xf>
    <xf numFmtId="9" fontId="0" fillId="0" borderId="0" xfId="0" applyNumberFormat="1"/>
    <xf numFmtId="0" fontId="10" fillId="6" borderId="0" xfId="0" applyFont="1" applyFill="1" applyAlignment="1">
      <alignment horizontal="left"/>
    </xf>
    <xf numFmtId="9" fontId="13" fillId="2" borderId="1" xfId="1" applyNumberFormat="1" applyFont="1"/>
    <xf numFmtId="169" fontId="13" fillId="2" borderId="1" xfId="1" applyNumberFormat="1" applyFont="1"/>
    <xf numFmtId="0" fontId="0" fillId="0" borderId="0" xfId="0" quotePrefix="1" applyAlignment="1">
      <alignment horizontal="right"/>
    </xf>
    <xf numFmtId="0" fontId="9" fillId="0" borderId="7" xfId="0" applyFont="1" applyBorder="1"/>
    <xf numFmtId="0" fontId="10" fillId="6" borderId="7" xfId="0" applyFont="1" applyFill="1" applyBorder="1" applyAlignment="1">
      <alignment horizontal="left"/>
    </xf>
    <xf numFmtId="3" fontId="9" fillId="7" borderId="7" xfId="0" applyNumberFormat="1" applyFont="1" applyFill="1" applyBorder="1" applyAlignment="1">
      <alignment horizontal="right"/>
    </xf>
    <xf numFmtId="3" fontId="9" fillId="0" borderId="7" xfId="0" applyNumberFormat="1" applyFont="1" applyBorder="1" applyAlignment="1">
      <alignment horizontal="right"/>
    </xf>
    <xf numFmtId="0" fontId="9" fillId="7" borderId="7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0" fontId="0" fillId="0" borderId="7" xfId="0" applyBorder="1"/>
    <xf numFmtId="9" fontId="16" fillId="2" borderId="1" xfId="1" applyNumberFormat="1" applyFont="1"/>
    <xf numFmtId="168" fontId="17" fillId="0" borderId="0" xfId="0" applyNumberFormat="1" applyFont="1"/>
    <xf numFmtId="169" fontId="18" fillId="2" borderId="1" xfId="1" applyNumberFormat="1" applyFont="1"/>
    <xf numFmtId="9" fontId="15" fillId="0" borderId="0" xfId="0" applyNumberFormat="1" applyFont="1"/>
    <xf numFmtId="0" fontId="7" fillId="4" borderId="0" xfId="0" applyFont="1" applyFill="1"/>
    <xf numFmtId="0" fontId="7" fillId="5" borderId="0" xfId="0" applyFont="1" applyFill="1"/>
    <xf numFmtId="168" fontId="0" fillId="8" borderId="0" xfId="0" applyNumberFormat="1" applyFill="1"/>
    <xf numFmtId="0" fontId="0" fillId="0" borderId="0" xfId="0" applyFill="1" applyBorder="1"/>
    <xf numFmtId="9" fontId="13" fillId="0" borderId="8" xfId="0" applyNumberFormat="1" applyFont="1" applyBorder="1"/>
    <xf numFmtId="9" fontId="13" fillId="0" borderId="9" xfId="0" applyNumberFormat="1" applyFont="1" applyBorder="1"/>
    <xf numFmtId="9" fontId="13" fillId="0" borderId="10" xfId="0" applyNumberFormat="1" applyFont="1" applyBorder="1"/>
    <xf numFmtId="10" fontId="0" fillId="0" borderId="0" xfId="0" applyNumberFormat="1"/>
    <xf numFmtId="169" fontId="0" fillId="0" borderId="0" xfId="0" applyNumberFormat="1"/>
    <xf numFmtId="1" fontId="7" fillId="0" borderId="0" xfId="0" applyNumberFormat="1" applyFont="1"/>
    <xf numFmtId="0" fontId="19" fillId="9" borderId="0" xfId="0" applyFont="1" applyFill="1" applyAlignment="1">
      <alignment horizontal="left"/>
    </xf>
    <xf numFmtId="0" fontId="10" fillId="10" borderId="0" xfId="0" applyFont="1" applyFill="1" applyAlignment="1">
      <alignment horizontal="left"/>
    </xf>
    <xf numFmtId="0" fontId="0" fillId="10" borderId="0" xfId="0" applyFill="1" applyAlignment="1">
      <alignment horizontal="left" indent="4"/>
    </xf>
    <xf numFmtId="3" fontId="0" fillId="10" borderId="0" xfId="0" applyNumberFormat="1" applyFill="1" applyAlignment="1">
      <alignment horizontal="right"/>
    </xf>
    <xf numFmtId="0" fontId="10" fillId="10" borderId="0" xfId="0" applyFont="1" applyFill="1" applyAlignment="1">
      <alignment horizontal="left" indent="6"/>
    </xf>
    <xf numFmtId="3" fontId="10" fillId="10" borderId="0" xfId="0" applyNumberFormat="1" applyFont="1" applyFill="1" applyAlignment="1">
      <alignment horizontal="right"/>
    </xf>
    <xf numFmtId="0" fontId="10" fillId="10" borderId="0" xfId="0" applyFont="1" applyFill="1" applyAlignment="1">
      <alignment horizontal="left" indent="3"/>
    </xf>
    <xf numFmtId="0" fontId="0" fillId="10" borderId="0" xfId="0" applyFill="1" applyAlignment="1">
      <alignment horizontal="left" indent="1"/>
    </xf>
    <xf numFmtId="0" fontId="0" fillId="10" borderId="0" xfId="0" applyFill="1" applyAlignment="1">
      <alignment horizontal="left" indent="7"/>
    </xf>
    <xf numFmtId="0" fontId="10" fillId="0" borderId="0" xfId="0" applyFont="1" applyAlignment="1">
      <alignment horizontal="left" indent="6"/>
    </xf>
    <xf numFmtId="3" fontId="11" fillId="10" borderId="0" xfId="0" applyNumberFormat="1" applyFont="1" applyFill="1" applyAlignment="1">
      <alignment horizontal="right"/>
    </xf>
    <xf numFmtId="4" fontId="11" fillId="0" borderId="0" xfId="0" applyNumberFormat="1" applyFont="1" applyAlignment="1">
      <alignment horizontal="right"/>
    </xf>
    <xf numFmtId="4" fontId="0" fillId="10" borderId="0" xfId="0" applyNumberFormat="1" applyFill="1" applyAlignment="1">
      <alignment horizontal="right"/>
    </xf>
    <xf numFmtId="4" fontId="11" fillId="10" borderId="0" xfId="0" applyNumberFormat="1" applyFont="1" applyFill="1" applyAlignment="1">
      <alignment horizontal="right"/>
    </xf>
    <xf numFmtId="169" fontId="13" fillId="0" borderId="0" xfId="0" applyNumberFormat="1" applyFont="1"/>
    <xf numFmtId="188" fontId="0" fillId="0" borderId="0" xfId="0" applyNumberFormat="1"/>
    <xf numFmtId="189" fontId="0" fillId="0" borderId="0" xfId="0" applyNumberFormat="1"/>
    <xf numFmtId="0" fontId="0" fillId="0" borderId="0" xfId="0" applyBorder="1"/>
    <xf numFmtId="0" fontId="0" fillId="3" borderId="0" xfId="0" applyFill="1" applyBorder="1"/>
    <xf numFmtId="0" fontId="4" fillId="3" borderId="0" xfId="0" applyFont="1" applyFill="1" applyBorder="1"/>
    <xf numFmtId="0" fontId="7" fillId="0" borderId="0" xfId="0" applyFont="1" applyFill="1" applyBorder="1"/>
    <xf numFmtId="9" fontId="20" fillId="0" borderId="0" xfId="0" applyNumberFormat="1" applyFont="1"/>
    <xf numFmtId="0" fontId="20" fillId="0" borderId="0" xfId="0" applyFont="1"/>
    <xf numFmtId="10" fontId="20" fillId="0" borderId="0" xfId="0" applyNumberFormat="1" applyFont="1"/>
    <xf numFmtId="168" fontId="20" fillId="0" borderId="0" xfId="0" applyNumberFormat="1" applyFont="1"/>
    <xf numFmtId="169" fontId="7" fillId="0" borderId="0" xfId="0" applyNumberFormat="1" applyFont="1"/>
    <xf numFmtId="169" fontId="7" fillId="0" borderId="0" xfId="0" applyNumberFormat="1" applyFont="1" applyBorder="1"/>
    <xf numFmtId="0" fontId="14" fillId="0" borderId="0" xfId="0" applyFont="1" applyFill="1" applyBorder="1"/>
    <xf numFmtId="9" fontId="21" fillId="0" borderId="0" xfId="0" applyNumberFormat="1" applyFont="1"/>
    <xf numFmtId="0" fontId="7" fillId="0" borderId="8" xfId="0" applyFont="1" applyFill="1" applyBorder="1"/>
    <xf numFmtId="169" fontId="7" fillId="0" borderId="10" xfId="0" applyNumberFormat="1" applyFont="1" applyBorder="1"/>
    <xf numFmtId="10" fontId="17" fillId="0" borderId="0" xfId="0" applyNumberFormat="1" applyFont="1"/>
    <xf numFmtId="168" fontId="0" fillId="0" borderId="3" xfId="0" applyNumberFormat="1" applyBorder="1"/>
    <xf numFmtId="168" fontId="7" fillId="0" borderId="3" xfId="0" applyNumberFormat="1" applyFont="1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5B050"/>
      <color rgb="FF0432FF"/>
      <color rgb="FFFFFFFF"/>
      <color rgb="FF0E2741"/>
      <color rgb="FF747474"/>
      <color rgb="FF000000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48F1-ADFC-4D4B-BFCF-F204EA1780E9}">
  <sheetPr>
    <tabColor theme="0" tint="-0.14999847407452621"/>
  </sheetPr>
  <dimension ref="A3:E9"/>
  <sheetViews>
    <sheetView showGridLines="0" zoomScale="140" zoomScaleNormal="140" workbookViewId="0">
      <selection activeCell="E7" sqref="E7"/>
    </sheetView>
  </sheetViews>
  <sheetFormatPr baseColWidth="10" defaultRowHeight="16" x14ac:dyDescent="0.2"/>
  <cols>
    <col min="1" max="2" width="2.83203125" customWidth="1"/>
  </cols>
  <sheetData>
    <row r="3" spans="1:5" s="1" customFormat="1" ht="24" x14ac:dyDescent="0.3">
      <c r="A3"/>
      <c r="B3"/>
      <c r="C3" s="2" t="s">
        <v>0</v>
      </c>
    </row>
    <row r="6" spans="1:5" x14ac:dyDescent="0.2">
      <c r="B6">
        <v>1</v>
      </c>
      <c r="C6" t="s">
        <v>2</v>
      </c>
      <c r="E6" t="s">
        <v>1</v>
      </c>
    </row>
    <row r="7" spans="1:5" x14ac:dyDescent="0.2">
      <c r="B7">
        <v>2</v>
      </c>
      <c r="C7" t="s">
        <v>3</v>
      </c>
    </row>
    <row r="8" spans="1:5" x14ac:dyDescent="0.2">
      <c r="B8">
        <v>3</v>
      </c>
      <c r="C8" t="s">
        <v>5</v>
      </c>
    </row>
    <row r="9" spans="1:5" x14ac:dyDescent="0.2">
      <c r="B9">
        <v>3</v>
      </c>
      <c r="C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45F2-FBB9-6743-BB38-B11D5C4AE7DE}">
  <sheetPr>
    <tabColor theme="0" tint="-0.14999847407452621"/>
  </sheetPr>
  <dimension ref="A1:R115"/>
  <sheetViews>
    <sheetView showGridLines="0" tabSelected="1" view="pageBreakPreview" zoomScaleNormal="100" zoomScaleSheetLayoutView="100" workbookViewId="0">
      <selection activeCell="N12" sqref="N12"/>
    </sheetView>
  </sheetViews>
  <sheetFormatPr baseColWidth="10" defaultRowHeight="16" x14ac:dyDescent="0.2"/>
  <cols>
    <col min="1" max="1" width="2.83203125" style="7" customWidth="1"/>
    <col min="2" max="2" width="2.83203125" customWidth="1"/>
    <col min="3" max="3" width="17" bestFit="1" customWidth="1"/>
    <col min="5" max="5" width="21" bestFit="1" customWidth="1"/>
    <col min="6" max="18" width="12.83203125" customWidth="1"/>
    <col min="19" max="20" width="2.83203125" customWidth="1"/>
  </cols>
  <sheetData>
    <row r="1" spans="1:18" s="3" customFormat="1" x14ac:dyDescent="0.2">
      <c r="A1" s="6"/>
    </row>
    <row r="2" spans="1:18" s="3" customFormat="1" x14ac:dyDescent="0.2">
      <c r="A2" s="6"/>
    </row>
    <row r="3" spans="1:18" s="3" customFormat="1" ht="27" x14ac:dyDescent="0.35">
      <c r="A3" s="6"/>
      <c r="C3" s="5" t="s">
        <v>6</v>
      </c>
    </row>
    <row r="6" spans="1:18" x14ac:dyDescent="0.2">
      <c r="A6" s="7" t="s">
        <v>8</v>
      </c>
      <c r="C6" s="4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8" spans="1:18" x14ac:dyDescent="0.2">
      <c r="C8" t="s">
        <v>16</v>
      </c>
      <c r="E8" s="13" t="s">
        <v>21</v>
      </c>
      <c r="G8" t="s">
        <v>19</v>
      </c>
      <c r="I8" s="128">
        <f ca="1">R98</f>
        <v>270.50981248177823</v>
      </c>
    </row>
    <row r="9" spans="1:18" x14ac:dyDescent="0.2">
      <c r="C9" t="s">
        <v>15</v>
      </c>
      <c r="E9" s="13" t="s">
        <v>22</v>
      </c>
      <c r="G9" t="s">
        <v>20</v>
      </c>
      <c r="I9" s="16">
        <f ca="1">I8/E11-1</f>
        <v>-0.12865256085753507</v>
      </c>
    </row>
    <row r="10" spans="1:18" x14ac:dyDescent="0.2">
      <c r="C10" t="s">
        <v>17</v>
      </c>
      <c r="E10" s="14">
        <f ca="1">TODAY()</f>
        <v>45986</v>
      </c>
    </row>
    <row r="11" spans="1:18" x14ac:dyDescent="0.2">
      <c r="C11" t="s">
        <v>18</v>
      </c>
      <c r="E11" s="15">
        <v>310.45</v>
      </c>
    </row>
    <row r="13" spans="1:18" x14ac:dyDescent="0.2">
      <c r="A13" s="7" t="s">
        <v>8</v>
      </c>
      <c r="C13" s="4" t="s">
        <v>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5" spans="1:18" x14ac:dyDescent="0.2">
      <c r="C15" s="17" t="s">
        <v>23</v>
      </c>
      <c r="G15" s="17" t="s">
        <v>26</v>
      </c>
      <c r="H15" s="19" t="s">
        <v>24</v>
      </c>
      <c r="I15" s="19" t="s">
        <v>25</v>
      </c>
      <c r="K15" s="17" t="s">
        <v>27</v>
      </c>
      <c r="L15" s="19" t="s">
        <v>24</v>
      </c>
      <c r="M15" s="19" t="s">
        <v>25</v>
      </c>
      <c r="N15" s="19"/>
      <c r="O15" s="17" t="s">
        <v>28</v>
      </c>
      <c r="P15" s="19" t="s">
        <v>24</v>
      </c>
      <c r="Q15" s="19" t="s">
        <v>25</v>
      </c>
    </row>
    <row r="16" spans="1:18" x14ac:dyDescent="0.2">
      <c r="C16" t="s">
        <v>140</v>
      </c>
      <c r="E16" s="12">
        <v>1</v>
      </c>
      <c r="G16" t="s">
        <v>142</v>
      </c>
      <c r="H16" s="74" t="s">
        <v>141</v>
      </c>
      <c r="I16" s="84">
        <v>-0.2</v>
      </c>
      <c r="O16" t="s">
        <v>142</v>
      </c>
      <c r="P16" s="74" t="s">
        <v>141</v>
      </c>
      <c r="Q16" s="84">
        <v>0.55000000000000004</v>
      </c>
    </row>
    <row r="17" spans="1:18" x14ac:dyDescent="0.2">
      <c r="C17" t="s">
        <v>219</v>
      </c>
      <c r="E17" s="93">
        <f>CHOOSE(scen,M20,I20,Q20)</f>
        <v>6.1305017591989974E-2</v>
      </c>
      <c r="G17" t="s">
        <v>144</v>
      </c>
      <c r="H17" s="74" t="s">
        <v>145</v>
      </c>
      <c r="I17" s="84">
        <v>-0.05</v>
      </c>
      <c r="O17" t="s">
        <v>144</v>
      </c>
      <c r="P17" s="74" t="s">
        <v>145</v>
      </c>
      <c r="Q17" s="84">
        <v>0</v>
      </c>
    </row>
    <row r="18" spans="1:18" x14ac:dyDescent="0.2">
      <c r="C18" t="s">
        <v>237</v>
      </c>
      <c r="E18" s="93">
        <f>CHOOSE(scen,M21,I21,Q21)</f>
        <v>2.5000000000000001E-2</v>
      </c>
      <c r="G18" t="s">
        <v>144</v>
      </c>
      <c r="H18" s="74" t="s">
        <v>146</v>
      </c>
      <c r="I18" s="84">
        <v>-0.15</v>
      </c>
      <c r="O18" t="s">
        <v>144</v>
      </c>
      <c r="P18" s="74" t="s">
        <v>146</v>
      </c>
      <c r="Q18" s="84">
        <v>0.05</v>
      </c>
    </row>
    <row r="19" spans="1:18" x14ac:dyDescent="0.2">
      <c r="G19" t="s">
        <v>96</v>
      </c>
      <c r="H19" s="74" t="s">
        <v>145</v>
      </c>
      <c r="I19" s="84">
        <v>0</v>
      </c>
      <c r="O19" t="s">
        <v>96</v>
      </c>
      <c r="P19" s="74" t="s">
        <v>141</v>
      </c>
      <c r="Q19" s="84">
        <v>0</v>
      </c>
    </row>
    <row r="20" spans="1:18" x14ac:dyDescent="0.2">
      <c r="G20" t="s">
        <v>219</v>
      </c>
      <c r="H20" s="74"/>
      <c r="I20" s="84">
        <v>6.2E-2</v>
      </c>
      <c r="K20" t="s">
        <v>219</v>
      </c>
      <c r="M20" s="127">
        <f>WACC!D21</f>
        <v>6.1305017591989974E-2</v>
      </c>
      <c r="O20" t="s">
        <v>219</v>
      </c>
      <c r="P20" s="74"/>
      <c r="Q20" s="84">
        <v>0.06</v>
      </c>
    </row>
    <row r="21" spans="1:18" x14ac:dyDescent="0.2">
      <c r="G21" t="s">
        <v>237</v>
      </c>
      <c r="H21" s="74"/>
      <c r="I21" s="84">
        <v>2.1999999999999999E-2</v>
      </c>
      <c r="K21" t="s">
        <v>237</v>
      </c>
      <c r="L21" s="74"/>
      <c r="M21" s="84">
        <v>2.5000000000000001E-2</v>
      </c>
      <c r="O21" t="s">
        <v>237</v>
      </c>
      <c r="P21" s="74"/>
      <c r="Q21" s="84">
        <v>2.8000000000000001E-2</v>
      </c>
    </row>
    <row r="23" spans="1:18" x14ac:dyDescent="0.2">
      <c r="A23" s="7" t="s">
        <v>8</v>
      </c>
      <c r="C23" s="4" t="s">
        <v>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5" spans="1:18" ht="19" x14ac:dyDescent="0.35">
      <c r="C25" s="8"/>
      <c r="D25" s="8"/>
      <c r="E25" s="8"/>
      <c r="F25" s="8"/>
      <c r="G25" s="8"/>
      <c r="H25" s="9" t="s">
        <v>12</v>
      </c>
      <c r="I25" s="10"/>
      <c r="J25" s="10"/>
      <c r="K25" s="10"/>
      <c r="L25" s="10"/>
      <c r="M25" s="11" t="s">
        <v>13</v>
      </c>
      <c r="N25" s="11"/>
      <c r="O25" s="11"/>
      <c r="P25" s="11"/>
      <c r="Q25" s="11"/>
      <c r="R25" s="11"/>
    </row>
    <row r="26" spans="1:18" x14ac:dyDescent="0.2">
      <c r="C26" s="86" t="s">
        <v>11</v>
      </c>
      <c r="D26" s="86"/>
      <c r="E26" s="86"/>
      <c r="F26" s="86"/>
      <c r="G26" s="86"/>
      <c r="H26" s="86">
        <v>2020</v>
      </c>
      <c r="I26" s="86">
        <f>+H26+1</f>
        <v>2021</v>
      </c>
      <c r="J26" s="86">
        <f t="shared" ref="J26:R26" si="0">+I26+1</f>
        <v>2022</v>
      </c>
      <c r="K26" s="86">
        <f t="shared" si="0"/>
        <v>2023</v>
      </c>
      <c r="L26" s="86">
        <f t="shared" si="0"/>
        <v>2024</v>
      </c>
      <c r="M26" s="87">
        <f t="shared" si="0"/>
        <v>2025</v>
      </c>
      <c r="N26" s="87">
        <f t="shared" si="0"/>
        <v>2026</v>
      </c>
      <c r="O26" s="87">
        <f t="shared" si="0"/>
        <v>2027</v>
      </c>
      <c r="P26" s="87">
        <f t="shared" si="0"/>
        <v>2028</v>
      </c>
      <c r="Q26" s="87">
        <f t="shared" si="0"/>
        <v>2029</v>
      </c>
      <c r="R26" s="87">
        <f t="shared" si="0"/>
        <v>2030</v>
      </c>
    </row>
    <row r="27" spans="1:18" x14ac:dyDescent="0.2">
      <c r="C27" t="s">
        <v>89</v>
      </c>
      <c r="D27" s="59"/>
      <c r="E27" s="59"/>
      <c r="F27" s="59"/>
      <c r="G27" s="59"/>
      <c r="H27" s="83">
        <f>IS!H11</f>
        <v>16849</v>
      </c>
      <c r="I27" s="83">
        <f>IS!I11</f>
        <v>19647</v>
      </c>
      <c r="J27" s="83">
        <f>IS!J11</f>
        <v>22058</v>
      </c>
      <c r="K27" s="83">
        <f>IS!K11</f>
        <v>23581</v>
      </c>
      <c r="L27" s="83">
        <f>IS!L11</f>
        <v>23962</v>
      </c>
      <c r="M27" s="59">
        <f ca="1">L27*(1+M28)</f>
        <v>24561.05</v>
      </c>
      <c r="N27" s="59">
        <f t="shared" ref="N27:R27" ca="1" si="1">M27*(1+N28)</f>
        <v>25175.076249999998</v>
      </c>
      <c r="O27" s="59">
        <f t="shared" ca="1" si="1"/>
        <v>25804.453156249994</v>
      </c>
      <c r="P27" s="59">
        <f t="shared" ca="1" si="1"/>
        <v>26449.564485156243</v>
      </c>
      <c r="Q27" s="59">
        <f t="shared" ca="1" si="1"/>
        <v>27110.803597285147</v>
      </c>
      <c r="R27" s="59">
        <f t="shared" ca="1" si="1"/>
        <v>27788.573687217275</v>
      </c>
    </row>
    <row r="28" spans="1:18" s="57" customFormat="1" x14ac:dyDescent="0.2">
      <c r="A28" s="56"/>
      <c r="C28" s="58" t="s">
        <v>90</v>
      </c>
      <c r="D28" s="60"/>
      <c r="E28" s="60"/>
      <c r="F28" s="60"/>
      <c r="G28" s="60"/>
      <c r="H28" s="60"/>
      <c r="I28" s="67">
        <f>I27/H27-1</f>
        <v>0.16606326784972403</v>
      </c>
      <c r="J28" s="67">
        <f t="shared" ref="J28:L28" si="2">J27/I27-1</f>
        <v>0.12271593627525834</v>
      </c>
      <c r="K28" s="67">
        <f t="shared" si="2"/>
        <v>6.9045244355789182E-2</v>
      </c>
      <c r="L28" s="67">
        <f t="shared" si="2"/>
        <v>1.6157075611721305E-2</v>
      </c>
      <c r="M28" s="67">
        <f ca="1">OFFSET(M28,scen,0)</f>
        <v>2.5000000000000001E-2</v>
      </c>
      <c r="N28" s="67">
        <f ca="1">OFFSET(N28,scen,0)</f>
        <v>2.5000000000000001E-2</v>
      </c>
      <c r="O28" s="67">
        <f ca="1">OFFSET(O28,scen,0)</f>
        <v>2.5000000000000001E-2</v>
      </c>
      <c r="P28" s="67">
        <f ca="1">OFFSET(P28,scen,0)</f>
        <v>2.5000000000000001E-2</v>
      </c>
      <c r="Q28" s="67">
        <f ca="1">OFFSET(Q28,scen,0)</f>
        <v>2.5000000000000001E-2</v>
      </c>
      <c r="R28" s="67">
        <f ca="1">OFFSET(R28,scen,0)</f>
        <v>2.5000000000000001E-2</v>
      </c>
    </row>
    <row r="29" spans="1:18" s="57" customFormat="1" x14ac:dyDescent="0.2">
      <c r="A29" s="56"/>
      <c r="C29" s="58" t="s">
        <v>137</v>
      </c>
      <c r="D29" s="60"/>
      <c r="E29" s="60"/>
      <c r="F29" s="60"/>
      <c r="G29" s="60"/>
      <c r="H29" s="60"/>
      <c r="I29" s="67"/>
      <c r="J29" s="67"/>
      <c r="K29" s="67"/>
      <c r="L29" s="67"/>
      <c r="M29" s="84">
        <v>2.5000000000000001E-2</v>
      </c>
      <c r="N29" s="73">
        <f>M29</f>
        <v>2.5000000000000001E-2</v>
      </c>
      <c r="O29" s="73">
        <f t="shared" ref="O29:R29" si="3">N29</f>
        <v>2.5000000000000001E-2</v>
      </c>
      <c r="P29" s="73">
        <f t="shared" si="3"/>
        <v>2.5000000000000001E-2</v>
      </c>
      <c r="Q29" s="73">
        <f t="shared" si="3"/>
        <v>2.5000000000000001E-2</v>
      </c>
      <c r="R29" s="73">
        <f t="shared" si="3"/>
        <v>2.5000000000000001E-2</v>
      </c>
    </row>
    <row r="30" spans="1:18" s="57" customFormat="1" x14ac:dyDescent="0.2">
      <c r="A30" s="56"/>
      <c r="C30" s="58" t="s">
        <v>138</v>
      </c>
      <c r="D30" s="60"/>
      <c r="E30" s="60"/>
      <c r="F30" s="60"/>
      <c r="G30" s="60"/>
      <c r="H30" s="60"/>
      <c r="I30" s="67"/>
      <c r="J30" s="67"/>
      <c r="K30" s="67"/>
      <c r="L30" s="67"/>
      <c r="M30" s="73">
        <f>M29*(1+I16)</f>
        <v>2.0000000000000004E-2</v>
      </c>
      <c r="N30" s="73">
        <f t="shared" ref="N30:R30" si="4">M30</f>
        <v>2.0000000000000004E-2</v>
      </c>
      <c r="O30" s="73">
        <f t="shared" si="4"/>
        <v>2.0000000000000004E-2</v>
      </c>
      <c r="P30" s="73">
        <f t="shared" si="4"/>
        <v>2.0000000000000004E-2</v>
      </c>
      <c r="Q30" s="73">
        <f t="shared" si="4"/>
        <v>2.0000000000000004E-2</v>
      </c>
      <c r="R30" s="73">
        <f t="shared" si="4"/>
        <v>2.0000000000000004E-2</v>
      </c>
    </row>
    <row r="31" spans="1:18" s="57" customFormat="1" x14ac:dyDescent="0.2">
      <c r="A31" s="56"/>
      <c r="C31" s="58" t="s">
        <v>139</v>
      </c>
      <c r="D31" s="60"/>
      <c r="E31" s="60"/>
      <c r="F31" s="60"/>
      <c r="G31" s="60"/>
      <c r="H31" s="60"/>
      <c r="I31" s="67"/>
      <c r="J31" s="67"/>
      <c r="K31" s="67"/>
      <c r="L31" s="67"/>
      <c r="M31" s="73">
        <f>M29*(1+Q16)</f>
        <v>3.8750000000000007E-2</v>
      </c>
      <c r="N31" s="73">
        <f t="shared" ref="N31:R31" si="5">M31</f>
        <v>3.8750000000000007E-2</v>
      </c>
      <c r="O31" s="73">
        <f t="shared" si="5"/>
        <v>3.8750000000000007E-2</v>
      </c>
      <c r="P31" s="73">
        <f t="shared" si="5"/>
        <v>3.8750000000000007E-2</v>
      </c>
      <c r="Q31" s="73">
        <f t="shared" si="5"/>
        <v>3.8750000000000007E-2</v>
      </c>
      <c r="R31" s="73">
        <f t="shared" si="5"/>
        <v>3.8750000000000007E-2</v>
      </c>
    </row>
    <row r="32" spans="1:18" x14ac:dyDescent="0.2"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</row>
    <row r="33" spans="1:18" x14ac:dyDescent="0.2">
      <c r="C33" t="s">
        <v>91</v>
      </c>
      <c r="D33" s="59"/>
      <c r="E33" s="59"/>
      <c r="F33" s="59"/>
      <c r="G33" s="59"/>
      <c r="H33" s="83">
        <f>IS!H13*-1</f>
        <v>-6788</v>
      </c>
      <c r="I33" s="83">
        <f>IS!I13*-1</f>
        <v>-7482</v>
      </c>
      <c r="J33" s="83">
        <f>IS!J13*-1</f>
        <v>-7831</v>
      </c>
      <c r="K33" s="83">
        <f>IS!K13*-1</f>
        <v>-8419</v>
      </c>
      <c r="L33" s="83">
        <f>IS!L13*-1</f>
        <v>-8525</v>
      </c>
      <c r="M33" s="59">
        <f ca="1">M35-M27</f>
        <v>-8524.4557877930984</v>
      </c>
      <c r="N33" s="59">
        <f t="shared" ref="N33:R33" ca="1" si="6">N35-N27</f>
        <v>-8540.3170736777793</v>
      </c>
      <c r="O33" s="59">
        <f t="shared" ca="1" si="6"/>
        <v>-8583.3187189624223</v>
      </c>
      <c r="P33" s="59">
        <f t="shared" ca="1" si="6"/>
        <v>-8621.3850589542817</v>
      </c>
      <c r="Q33" s="59">
        <f t="shared" ca="1" si="6"/>
        <v>-8654.1808463095695</v>
      </c>
      <c r="R33" s="59">
        <f t="shared" ca="1" si="6"/>
        <v>-8681.3549842698085</v>
      </c>
    </row>
    <row r="34" spans="1:18" x14ac:dyDescent="0.2"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</row>
    <row r="35" spans="1:18" x14ac:dyDescent="0.2">
      <c r="C35" s="18" t="s">
        <v>93</v>
      </c>
      <c r="D35" s="68"/>
      <c r="E35" s="68"/>
      <c r="F35" s="68"/>
      <c r="G35" s="68"/>
      <c r="H35" s="68">
        <f>H27+H33</f>
        <v>10061</v>
      </c>
      <c r="I35" s="68">
        <f>I27+I33</f>
        <v>12165</v>
      </c>
      <c r="J35" s="68">
        <f>J27+J33</f>
        <v>14227</v>
      </c>
      <c r="K35" s="68">
        <f>K27+K33</f>
        <v>15162</v>
      </c>
      <c r="L35" s="68">
        <f>L27+L33</f>
        <v>15437</v>
      </c>
      <c r="M35" s="68">
        <f ca="1">M27*M36</f>
        <v>16036.594212206901</v>
      </c>
      <c r="N35" s="68">
        <f t="shared" ref="N35:R35" ca="1" si="7">N27*N36</f>
        <v>16634.759176322219</v>
      </c>
      <c r="O35" s="68">
        <f t="shared" ca="1" si="7"/>
        <v>17221.134437287572</v>
      </c>
      <c r="P35" s="68">
        <f t="shared" ca="1" si="7"/>
        <v>17828.179426201961</v>
      </c>
      <c r="Q35" s="68">
        <f t="shared" ca="1" si="7"/>
        <v>18456.622750975577</v>
      </c>
      <c r="R35" s="68">
        <f t="shared" ca="1" si="7"/>
        <v>19107.218702947466</v>
      </c>
    </row>
    <row r="36" spans="1:18" s="57" customFormat="1" x14ac:dyDescent="0.2">
      <c r="A36" s="56"/>
      <c r="C36" s="58" t="s">
        <v>94</v>
      </c>
      <c r="D36" s="60"/>
      <c r="E36" s="60"/>
      <c r="F36" s="60"/>
      <c r="G36" s="60"/>
      <c r="H36" s="67">
        <f>H35/H$27</f>
        <v>0.59712742595999757</v>
      </c>
      <c r="I36" s="67">
        <f t="shared" ref="I36:L36" si="8">I35/I$27</f>
        <v>0.61917850053443269</v>
      </c>
      <c r="J36" s="67">
        <f t="shared" si="8"/>
        <v>0.64498141263940523</v>
      </c>
      <c r="K36" s="67">
        <f t="shared" si="8"/>
        <v>0.64297527670582244</v>
      </c>
      <c r="L36" s="67">
        <f t="shared" si="8"/>
        <v>0.64422836157248975</v>
      </c>
      <c r="M36" s="67">
        <f ca="1">L36*(1+M37)</f>
        <v>0.65292787613749825</v>
      </c>
      <c r="N36" s="67">
        <f t="shared" ref="N36:R36" ca="1" si="9">M36*(1+N37)</f>
        <v>0.66076301065114829</v>
      </c>
      <c r="O36" s="67">
        <f t="shared" ca="1" si="9"/>
        <v>0.66737064075765973</v>
      </c>
      <c r="P36" s="67">
        <f t="shared" ca="1" si="9"/>
        <v>0.67404434716523631</v>
      </c>
      <c r="Q36" s="67">
        <f t="shared" ca="1" si="9"/>
        <v>0.68078479063688868</v>
      </c>
      <c r="R36" s="67">
        <f t="shared" ca="1" si="9"/>
        <v>0.68759263854325758</v>
      </c>
    </row>
    <row r="37" spans="1:18" s="57" customFormat="1" x14ac:dyDescent="0.2">
      <c r="A37" s="56"/>
      <c r="C37" s="58" t="s">
        <v>90</v>
      </c>
      <c r="D37" s="60"/>
      <c r="E37" s="60"/>
      <c r="F37" s="60"/>
      <c r="G37" s="60"/>
      <c r="H37" s="67"/>
      <c r="I37" s="67">
        <f>I36/H36-1</f>
        <v>3.6928591144484324E-2</v>
      </c>
      <c r="J37" s="67">
        <f t="shared" ref="J37" si="10">J36/I36-1</f>
        <v>4.1672816615404562E-2</v>
      </c>
      <c r="K37" s="67">
        <f>K36/J36-1</f>
        <v>-3.1103779027883416E-3</v>
      </c>
      <c r="L37" s="67">
        <f>L36/K36-1</f>
        <v>1.9488849914841566E-3</v>
      </c>
      <c r="M37" s="67">
        <f ca="1">OFFSET(M37,scen,0)</f>
        <v>1.3503774568033458E-2</v>
      </c>
      <c r="N37" s="67">
        <f ca="1">OFFSET(N37,scen,0)</f>
        <v>1.2E-2</v>
      </c>
      <c r="O37" s="67">
        <f ca="1">OFFSET(O37,scen,0)</f>
        <v>0.01</v>
      </c>
      <c r="P37" s="67">
        <f ca="1">OFFSET(P37,scen,0)</f>
        <v>0.01</v>
      </c>
      <c r="Q37" s="67">
        <f ca="1">OFFSET(Q37,scen,0)</f>
        <v>0.01</v>
      </c>
      <c r="R37" s="67">
        <f ca="1">OFFSET(R37,scen,0)</f>
        <v>0.01</v>
      </c>
    </row>
    <row r="38" spans="1:18" s="57" customFormat="1" x14ac:dyDescent="0.2">
      <c r="A38" s="56"/>
      <c r="C38" s="58" t="s">
        <v>137</v>
      </c>
      <c r="D38" s="60"/>
      <c r="E38" s="60"/>
      <c r="F38" s="60"/>
      <c r="G38" s="60"/>
      <c r="H38" s="60"/>
      <c r="I38" s="67"/>
      <c r="J38" s="67"/>
      <c r="K38" s="67"/>
      <c r="L38" s="67"/>
      <c r="M38" s="73">
        <f>AVERAGE(J37:L37)</f>
        <v>1.3503774568033458E-2</v>
      </c>
      <c r="N38" s="84">
        <v>1.2E-2</v>
      </c>
      <c r="O38" s="84">
        <v>0.01</v>
      </c>
      <c r="P38" s="73">
        <f t="shared" ref="P38:R38" si="11">O38</f>
        <v>0.01</v>
      </c>
      <c r="Q38" s="73">
        <f t="shared" si="11"/>
        <v>0.01</v>
      </c>
      <c r="R38" s="73">
        <f t="shared" si="11"/>
        <v>0.01</v>
      </c>
    </row>
    <row r="39" spans="1:18" s="57" customFormat="1" x14ac:dyDescent="0.2">
      <c r="A39" s="56"/>
      <c r="C39" s="58" t="s">
        <v>138</v>
      </c>
      <c r="D39" s="60"/>
      <c r="E39" s="60"/>
      <c r="F39" s="60"/>
      <c r="G39" s="60"/>
      <c r="H39" s="60"/>
      <c r="I39" s="67"/>
      <c r="J39" s="67"/>
      <c r="K39" s="67"/>
      <c r="L39" s="67"/>
      <c r="M39" s="73">
        <f>AVERAGE(K37:L37)</f>
        <v>-5.8074645565209249E-4</v>
      </c>
      <c r="N39" s="73">
        <f t="shared" ref="N39:O39" si="12">M39</f>
        <v>-5.8074645565209249E-4</v>
      </c>
      <c r="O39" s="73">
        <f t="shared" si="12"/>
        <v>-5.8074645565209249E-4</v>
      </c>
      <c r="P39" s="84">
        <v>0</v>
      </c>
      <c r="Q39" s="84">
        <v>0</v>
      </c>
      <c r="R39" s="84">
        <v>0</v>
      </c>
    </row>
    <row r="40" spans="1:18" s="57" customFormat="1" x14ac:dyDescent="0.2">
      <c r="A40" s="56"/>
      <c r="C40" s="58" t="s">
        <v>139</v>
      </c>
      <c r="D40" s="60"/>
      <c r="E40" s="60"/>
      <c r="F40" s="60"/>
      <c r="G40" s="60"/>
      <c r="H40" s="60"/>
      <c r="I40" s="67"/>
      <c r="J40" s="67"/>
      <c r="K40" s="67"/>
      <c r="L40" s="67"/>
      <c r="M40" s="84">
        <v>0.03</v>
      </c>
      <c r="N40" s="73">
        <f t="shared" ref="N40:R40" si="13">M40</f>
        <v>0.03</v>
      </c>
      <c r="O40" s="73">
        <f t="shared" si="13"/>
        <v>0.03</v>
      </c>
      <c r="P40" s="73">
        <f t="shared" si="13"/>
        <v>0.03</v>
      </c>
      <c r="Q40" s="73">
        <f t="shared" si="13"/>
        <v>0.03</v>
      </c>
      <c r="R40" s="73">
        <f t="shared" si="13"/>
        <v>0.03</v>
      </c>
    </row>
    <row r="41" spans="1:18" x14ac:dyDescent="0.2"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</row>
    <row r="42" spans="1:18" x14ac:dyDescent="0.2">
      <c r="C42" t="s">
        <v>95</v>
      </c>
      <c r="D42" s="59"/>
      <c r="E42" s="59"/>
      <c r="F42" s="59"/>
      <c r="G42" s="59"/>
      <c r="H42" s="83">
        <f>IS!H18*-1</f>
        <v>-2243</v>
      </c>
      <c r="I42" s="83">
        <f>IS!I18*-1</f>
        <v>-2316</v>
      </c>
      <c r="J42" s="83">
        <f>IS!J18*-1</f>
        <v>-2595</v>
      </c>
      <c r="K42" s="83">
        <f>IS!K18*-1</f>
        <v>-2492</v>
      </c>
      <c r="L42" s="83">
        <f>IS!L18*-1</f>
        <v>-2535</v>
      </c>
      <c r="M42" s="59">
        <f ca="1">M45-M35</f>
        <v>-2564.2298821982276</v>
      </c>
      <c r="N42" s="59">
        <f t="shared" ref="N42:R42" ca="1" si="14">N45-N35</f>
        <v>-2667.7931486893449</v>
      </c>
      <c r="O42" s="59">
        <f t="shared" ca="1" si="14"/>
        <v>-2734.725121068006</v>
      </c>
      <c r="P42" s="59">
        <f t="shared" ca="1" si="14"/>
        <v>-3001.1252406874337</v>
      </c>
      <c r="Q42" s="59">
        <f t="shared" ca="1" si="14"/>
        <v>-2810.3900058427844</v>
      </c>
      <c r="R42" s="59">
        <f t="shared" ca="1" si="14"/>
        <v>-2922.4242459052075</v>
      </c>
    </row>
    <row r="43" spans="1:18" x14ac:dyDescent="0.2">
      <c r="C43" s="58" t="s">
        <v>92</v>
      </c>
      <c r="D43" s="59"/>
      <c r="E43" s="59"/>
      <c r="F43" s="59"/>
      <c r="G43" s="59"/>
      <c r="H43" s="67">
        <f>H42/H27*-1</f>
        <v>0.13312362751498605</v>
      </c>
      <c r="I43" s="67">
        <f t="shared" ref="I43:R43" si="15">I42/I27*-1</f>
        <v>0.11788059245686364</v>
      </c>
      <c r="J43" s="67">
        <f t="shared" si="15"/>
        <v>0.11764439205730347</v>
      </c>
      <c r="K43" s="67">
        <f t="shared" si="15"/>
        <v>0.10567830032653408</v>
      </c>
      <c r="L43" s="67">
        <f t="shared" si="15"/>
        <v>0.10579250479926551</v>
      </c>
      <c r="M43" s="67">
        <f t="shared" ca="1" si="15"/>
        <v>0.1044022907081834</v>
      </c>
      <c r="N43" s="67">
        <f t="shared" ca="1" si="15"/>
        <v>0.10596961543222119</v>
      </c>
      <c r="O43" s="67">
        <f t="shared" ca="1" si="15"/>
        <v>0.10597880546077913</v>
      </c>
      <c r="P43" s="67">
        <f t="shared" ca="1" si="15"/>
        <v>0.11346596055945249</v>
      </c>
      <c r="Q43" s="67">
        <f t="shared" ca="1" si="15"/>
        <v>0.10366310226688429</v>
      </c>
      <c r="R43" s="67">
        <f t="shared" ca="1" si="15"/>
        <v>0.10516639964322892</v>
      </c>
    </row>
    <row r="44" spans="1:18" x14ac:dyDescent="0.2"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</row>
    <row r="45" spans="1:18" x14ac:dyDescent="0.2">
      <c r="C45" t="s">
        <v>86</v>
      </c>
      <c r="D45" s="59"/>
      <c r="E45" s="59"/>
      <c r="F45" s="59"/>
      <c r="G45" s="59"/>
      <c r="H45" s="68">
        <f>H35+H42</f>
        <v>7818</v>
      </c>
      <c r="I45" s="68">
        <f t="shared" ref="I45:L45" si="16">I35+I42</f>
        <v>9849</v>
      </c>
      <c r="J45" s="68">
        <f t="shared" si="16"/>
        <v>11632</v>
      </c>
      <c r="K45" s="68">
        <f t="shared" si="16"/>
        <v>12670</v>
      </c>
      <c r="L45" s="68">
        <f t="shared" si="16"/>
        <v>12902</v>
      </c>
      <c r="M45" s="68">
        <f ca="1">M27*M46</f>
        <v>13472.364330008673</v>
      </c>
      <c r="N45" s="68">
        <f t="shared" ref="N45:R45" ca="1" si="17">N27*N46</f>
        <v>13966.966027632874</v>
      </c>
      <c r="O45" s="68">
        <f t="shared" ca="1" si="17"/>
        <v>14486.409316219566</v>
      </c>
      <c r="P45" s="68">
        <f t="shared" ca="1" si="17"/>
        <v>14827.054185514527</v>
      </c>
      <c r="Q45" s="68">
        <f t="shared" ca="1" si="17"/>
        <v>15646.232745132793</v>
      </c>
      <c r="R45" s="68">
        <f t="shared" ca="1" si="17"/>
        <v>16184.794457042259</v>
      </c>
    </row>
    <row r="46" spans="1:18" s="57" customFormat="1" x14ac:dyDescent="0.2">
      <c r="A46" s="56"/>
      <c r="C46" s="58" t="s">
        <v>94</v>
      </c>
      <c r="D46" s="60"/>
      <c r="E46" s="60"/>
      <c r="F46" s="60"/>
      <c r="G46" s="60"/>
      <c r="H46" s="67">
        <f>H45/H$27</f>
        <v>0.46400379844501155</v>
      </c>
      <c r="I46" s="67">
        <f>I45/I$27</f>
        <v>0.50129790807756913</v>
      </c>
      <c r="J46" s="67">
        <f>J45/J$27</f>
        <v>0.52733702058210175</v>
      </c>
      <c r="K46" s="67">
        <f>K45/K$27</f>
        <v>0.53729697637928842</v>
      </c>
      <c r="L46" s="67">
        <f>L45/L$27</f>
        <v>0.53843585677322425</v>
      </c>
      <c r="M46" s="67">
        <f ca="1">OFFSET(M46,scen,0)</f>
        <v>0.54852558542931484</v>
      </c>
      <c r="N46" s="67">
        <f ca="1">OFFSET(N46,scen,0)</f>
        <v>0.55479339521892712</v>
      </c>
      <c r="O46" s="67">
        <f ca="1">OFFSET(O46,scen,0)</f>
        <v>0.56139183529688053</v>
      </c>
      <c r="P46" s="67">
        <f ca="1">OFFSET(P46,scen,0)</f>
        <v>0.56057838660578385</v>
      </c>
      <c r="Q46" s="67">
        <f ca="1">OFFSET(Q46,scen,0)</f>
        <v>0.57712168837000444</v>
      </c>
      <c r="R46" s="67">
        <f ca="1">OFFSET(R46,scen,0)</f>
        <v>0.58242623890002865</v>
      </c>
    </row>
    <row r="47" spans="1:18" s="57" customFormat="1" x14ac:dyDescent="0.2">
      <c r="A47" s="56"/>
      <c r="C47" s="58" t="s">
        <v>137</v>
      </c>
      <c r="D47" s="60"/>
      <c r="E47" s="60"/>
      <c r="F47" s="60"/>
      <c r="G47" s="60"/>
      <c r="H47" s="60"/>
      <c r="I47" s="67"/>
      <c r="J47" s="67"/>
      <c r="K47" s="67"/>
      <c r="L47" s="67"/>
      <c r="M47" s="82">
        <f>'Estimates IS'!H14</f>
        <v>0.54852558542931484</v>
      </c>
      <c r="N47" s="82">
        <f>'Estimates IS'!I14</f>
        <v>0.55479339521892712</v>
      </c>
      <c r="O47" s="82">
        <f>'Estimates IS'!J14</f>
        <v>0.56139183529688053</v>
      </c>
      <c r="P47" s="82">
        <f>'Estimates IS'!K14</f>
        <v>0.56057838660578385</v>
      </c>
      <c r="Q47" s="82">
        <f>'Estimates IS'!L14</f>
        <v>0.57712168837000444</v>
      </c>
      <c r="R47" s="82">
        <f>'Estimates IS'!M14</f>
        <v>0.58242623890002865</v>
      </c>
    </row>
    <row r="48" spans="1:18" s="57" customFormat="1" x14ac:dyDescent="0.2">
      <c r="A48" s="56"/>
      <c r="C48" s="58" t="s">
        <v>138</v>
      </c>
      <c r="D48" s="60"/>
      <c r="E48" s="60"/>
      <c r="F48" s="60"/>
      <c r="G48" s="60"/>
      <c r="H48" s="60"/>
      <c r="I48" s="67"/>
      <c r="J48" s="67"/>
      <c r="K48" s="67"/>
      <c r="L48" s="67"/>
      <c r="M48" s="72">
        <f>M47*(1+I17)</f>
        <v>0.52109930615784905</v>
      </c>
      <c r="N48" s="72">
        <f>M48-(($M$48-$R$48)/($R$26-$M$26))</f>
        <v>0.5158919055392841</v>
      </c>
      <c r="O48" s="72">
        <f t="shared" ref="O48:Q48" si="18">N48-(($M$48-$R$48)/($R$26-$M$26))</f>
        <v>0.51068450492071915</v>
      </c>
      <c r="P48" s="72">
        <f t="shared" si="18"/>
        <v>0.5054771043021542</v>
      </c>
      <c r="Q48" s="72">
        <f t="shared" si="18"/>
        <v>0.50026970368358925</v>
      </c>
      <c r="R48" s="72">
        <f>R47*(1+I18)</f>
        <v>0.49506230306502436</v>
      </c>
    </row>
    <row r="49" spans="1:18" s="57" customFormat="1" x14ac:dyDescent="0.2">
      <c r="A49" s="56"/>
      <c r="C49" s="58" t="s">
        <v>139</v>
      </c>
      <c r="D49" s="60"/>
      <c r="E49" s="60"/>
      <c r="F49" s="60"/>
      <c r="G49" s="60"/>
      <c r="H49" s="60"/>
      <c r="I49" s="67"/>
      <c r="J49" s="67"/>
      <c r="K49" s="67"/>
      <c r="L49" s="67"/>
      <c r="M49" s="72">
        <f>M47*(1+Q17)</f>
        <v>0.54852558542931484</v>
      </c>
      <c r="N49" s="72">
        <f>M49+(($R$49-$M$49)/($R$26-$M$26))</f>
        <v>0.56112997851245794</v>
      </c>
      <c r="O49" s="72">
        <f t="shared" ref="O49:Q49" si="19">N49+(($R$49-$M$49)/($R$26-$M$26))</f>
        <v>0.57373437159560103</v>
      </c>
      <c r="P49" s="72">
        <f t="shared" si="19"/>
        <v>0.58633876467874413</v>
      </c>
      <c r="Q49" s="72">
        <f t="shared" si="19"/>
        <v>0.59894315776188722</v>
      </c>
      <c r="R49" s="72">
        <f>R47*(1+Q18)</f>
        <v>0.6115475508450301</v>
      </c>
    </row>
    <row r="50" spans="1:18" x14ac:dyDescent="0.2">
      <c r="D50" s="59"/>
      <c r="E50" s="59"/>
      <c r="F50" s="59"/>
      <c r="G50" s="59"/>
      <c r="H50" s="59"/>
      <c r="I50" s="59"/>
      <c r="J50" s="59"/>
      <c r="K50" s="59"/>
      <c r="L50" s="59"/>
      <c r="M50" s="70"/>
      <c r="N50" s="70"/>
      <c r="O50" s="70"/>
      <c r="P50" s="70"/>
      <c r="Q50" s="70"/>
      <c r="R50" s="70"/>
    </row>
    <row r="51" spans="1:18" x14ac:dyDescent="0.2">
      <c r="C51" t="s">
        <v>96</v>
      </c>
      <c r="D51" s="59"/>
      <c r="E51" s="59"/>
      <c r="F51" s="59"/>
      <c r="G51" s="59"/>
      <c r="H51" s="83">
        <f>IS!H14*-1</f>
        <v>-1536</v>
      </c>
      <c r="I51" s="83">
        <f>IS!I14*-1</f>
        <v>-1580</v>
      </c>
      <c r="J51" s="83">
        <f>IS!J14*-1</f>
        <v>-1780</v>
      </c>
      <c r="K51" s="83">
        <f>IS!K14*-1</f>
        <v>-1830</v>
      </c>
      <c r="L51" s="83">
        <f>IS!L14*-1</f>
        <v>-1939</v>
      </c>
      <c r="M51" s="59">
        <f ca="1">M27*M52*-1</f>
        <v>-2005.5705615784909</v>
      </c>
      <c r="N51" s="59">
        <f t="shared" ref="N51:R51" ca="1" si="20">N27*N52*-1</f>
        <v>-2029.8478057483776</v>
      </c>
      <c r="O51" s="59">
        <f t="shared" ca="1" si="20"/>
        <v>-2103.8269961434398</v>
      </c>
      <c r="P51" s="59">
        <f t="shared" ca="1" si="20"/>
        <v>-2051.1496354927103</v>
      </c>
      <c r="Q51" s="59">
        <f t="shared" ca="1" si="20"/>
        <v>-1800.6913779816321</v>
      </c>
      <c r="R51" s="59">
        <f t="shared" ca="1" si="20"/>
        <v>-1770.1186117716818</v>
      </c>
    </row>
    <row r="52" spans="1:18" s="57" customFormat="1" x14ac:dyDescent="0.2">
      <c r="A52" s="56"/>
      <c r="C52" s="58" t="s">
        <v>92</v>
      </c>
      <c r="D52" s="60"/>
      <c r="E52" s="60"/>
      <c r="F52" s="60"/>
      <c r="G52" s="60"/>
      <c r="H52" s="67">
        <f>H51/H$27*-1</f>
        <v>9.1162680277761296E-2</v>
      </c>
      <c r="I52" s="67">
        <f t="shared" ref="I52:L52" si="21">I51/I$27*-1</f>
        <v>8.0419402453300759E-2</v>
      </c>
      <c r="J52" s="67">
        <f t="shared" si="21"/>
        <v>8.0696345996917218E-2</v>
      </c>
      <c r="K52" s="67">
        <f t="shared" si="21"/>
        <v>7.7604851363385782E-2</v>
      </c>
      <c r="L52" s="67">
        <f t="shared" si="21"/>
        <v>8.0919789666972705E-2</v>
      </c>
      <c r="M52" s="67">
        <f ca="1">OFFSET(M52,scen,0)</f>
        <v>8.1656548135299226E-2</v>
      </c>
      <c r="N52" s="67">
        <f ca="1">OFFSET(N52,scen,0)</f>
        <v>8.0629261480325315E-2</v>
      </c>
      <c r="O52" s="67">
        <f ca="1">OFFSET(O52,scen,0)</f>
        <v>8.1529609769462608E-2</v>
      </c>
      <c r="P52" s="67">
        <f ca="1">OFFSET(P52,scen,0)</f>
        <v>7.754946727549468E-2</v>
      </c>
      <c r="Q52" s="67">
        <f ca="1">OFFSET(Q52,scen,0)</f>
        <v>6.6419697650052387E-2</v>
      </c>
      <c r="R52" s="67">
        <f ca="1">OFFSET(R52,scen,0)</f>
        <v>6.3699513033514746E-2</v>
      </c>
    </row>
    <row r="53" spans="1:18" s="57" customFormat="1" x14ac:dyDescent="0.2">
      <c r="A53" s="56"/>
      <c r="C53" s="58" t="s">
        <v>137</v>
      </c>
      <c r="D53" s="60"/>
      <c r="E53" s="60"/>
      <c r="F53" s="60"/>
      <c r="G53" s="60"/>
      <c r="H53" s="60"/>
      <c r="I53" s="67"/>
      <c r="J53" s="67"/>
      <c r="K53" s="67"/>
      <c r="L53" s="67"/>
      <c r="M53" s="82">
        <f>'Estimates IS'!H18</f>
        <v>8.1656548135299226E-2</v>
      </c>
      <c r="N53" s="82">
        <f>'Estimates IS'!I18</f>
        <v>8.0629261480325315E-2</v>
      </c>
      <c r="O53" s="82">
        <f>'Estimates IS'!J18</f>
        <v>8.1529609769462608E-2</v>
      </c>
      <c r="P53" s="82">
        <f>'Estimates IS'!K18</f>
        <v>7.754946727549468E-2</v>
      </c>
      <c r="Q53" s="82">
        <f>'Estimates IS'!L18</f>
        <v>6.6419697650052387E-2</v>
      </c>
      <c r="R53" s="82">
        <f>'Estimates IS'!M18</f>
        <v>6.3699513033514746E-2</v>
      </c>
    </row>
    <row r="54" spans="1:18" s="57" customFormat="1" x14ac:dyDescent="0.2">
      <c r="A54" s="56"/>
      <c r="C54" s="58" t="s">
        <v>138</v>
      </c>
      <c r="D54" s="60"/>
      <c r="E54" s="60"/>
      <c r="F54" s="60"/>
      <c r="G54" s="60"/>
      <c r="H54" s="60"/>
      <c r="I54" s="67"/>
      <c r="J54" s="67"/>
      <c r="K54" s="67"/>
      <c r="L54" s="67"/>
      <c r="M54" s="72">
        <f>M53*(1+I19)</f>
        <v>8.1656548135299226E-2</v>
      </c>
      <c r="N54" s="72">
        <f>M54</f>
        <v>8.1656548135299226E-2</v>
      </c>
      <c r="O54" s="72">
        <f t="shared" ref="O54:R54" si="22">N54</f>
        <v>8.1656548135299226E-2</v>
      </c>
      <c r="P54" s="72">
        <f t="shared" si="22"/>
        <v>8.1656548135299226E-2</v>
      </c>
      <c r="Q54" s="72">
        <f t="shared" si="22"/>
        <v>8.1656548135299226E-2</v>
      </c>
      <c r="R54" s="72">
        <f t="shared" si="22"/>
        <v>8.1656548135299226E-2</v>
      </c>
    </row>
    <row r="55" spans="1:18" s="57" customFormat="1" x14ac:dyDescent="0.2">
      <c r="A55" s="56"/>
      <c r="C55" s="58" t="s">
        <v>139</v>
      </c>
      <c r="D55" s="60"/>
      <c r="E55" s="60"/>
      <c r="F55" s="60"/>
      <c r="G55" s="60"/>
      <c r="H55" s="60"/>
      <c r="I55" s="67"/>
      <c r="J55" s="67"/>
      <c r="K55" s="67"/>
      <c r="L55" s="67"/>
      <c r="M55" s="72">
        <f>M53*(1+Q19)</f>
        <v>8.1656548135299226E-2</v>
      </c>
      <c r="N55" s="72">
        <f t="shared" ref="N55:R55" si="23">N53*(1+R19)</f>
        <v>8.0629261480325315E-2</v>
      </c>
      <c r="O55" s="72">
        <f t="shared" si="23"/>
        <v>8.1529609769462608E-2</v>
      </c>
      <c r="P55" s="72">
        <f t="shared" si="23"/>
        <v>7.754946727549468E-2</v>
      </c>
      <c r="Q55" s="72">
        <f t="shared" si="23"/>
        <v>6.6419697650052387E-2</v>
      </c>
      <c r="R55" s="72">
        <f t="shared" si="23"/>
        <v>6.3699513033514746E-2</v>
      </c>
    </row>
    <row r="56" spans="1:18" x14ac:dyDescent="0.2"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</row>
    <row r="57" spans="1:18" x14ac:dyDescent="0.2">
      <c r="C57" t="s">
        <v>87</v>
      </c>
      <c r="D57" s="59"/>
      <c r="E57" s="59"/>
      <c r="F57" s="59"/>
      <c r="G57" s="59"/>
      <c r="H57" s="68">
        <f>H45+H51</f>
        <v>6282</v>
      </c>
      <c r="I57" s="68">
        <f t="shared" ref="I57:K57" si="24">I45+I51</f>
        <v>8269</v>
      </c>
      <c r="J57" s="68">
        <f t="shared" si="24"/>
        <v>9852</v>
      </c>
      <c r="K57" s="68">
        <f t="shared" si="24"/>
        <v>10840</v>
      </c>
      <c r="L57" s="68">
        <f>L45+L51</f>
        <v>10963</v>
      </c>
      <c r="M57" s="68">
        <f t="shared" ref="M57:R57" ca="1" si="25">M45+M51</f>
        <v>11466.793768430183</v>
      </c>
      <c r="N57" s="68">
        <f t="shared" ca="1" si="25"/>
        <v>11937.118221884497</v>
      </c>
      <c r="O57" s="68">
        <f t="shared" ca="1" si="25"/>
        <v>12382.582320076126</v>
      </c>
      <c r="P57" s="68">
        <f t="shared" ca="1" si="25"/>
        <v>12775.904550021816</v>
      </c>
      <c r="Q57" s="68">
        <f t="shared" ca="1" si="25"/>
        <v>13845.541367151161</v>
      </c>
      <c r="R57" s="68">
        <f t="shared" ca="1" si="25"/>
        <v>14414.675845270576</v>
      </c>
    </row>
    <row r="58" spans="1:18" s="57" customFormat="1" x14ac:dyDescent="0.2">
      <c r="A58" s="56"/>
      <c r="C58" s="58" t="s">
        <v>94</v>
      </c>
      <c r="D58" s="60"/>
      <c r="E58" s="60"/>
      <c r="F58" s="60"/>
      <c r="G58" s="60"/>
      <c r="H58" s="67">
        <f>H57/H$27</f>
        <v>0.3728411181672503</v>
      </c>
      <c r="I58" s="67">
        <f>I57/I$27</f>
        <v>0.42087850562426832</v>
      </c>
      <c r="J58" s="67">
        <f>J57/J$27</f>
        <v>0.44664067458518453</v>
      </c>
      <c r="K58" s="67">
        <f>K57/K$27</f>
        <v>0.45969212501590262</v>
      </c>
      <c r="L58" s="67">
        <f>L57/L$27</f>
        <v>0.45751606710625159</v>
      </c>
      <c r="M58" s="67">
        <f t="shared" ref="M58:R58" ca="1" si="26">M57/M$27</f>
        <v>0.46686903729401569</v>
      </c>
      <c r="N58" s="67">
        <f t="shared" ca="1" si="26"/>
        <v>0.47416413373860178</v>
      </c>
      <c r="O58" s="67">
        <f t="shared" ca="1" si="26"/>
        <v>0.47986222552741792</v>
      </c>
      <c r="P58" s="67">
        <f t="shared" ca="1" si="26"/>
        <v>0.48302891933028919</v>
      </c>
      <c r="Q58" s="67">
        <f t="shared" ca="1" si="26"/>
        <v>0.51070199071995204</v>
      </c>
      <c r="R58" s="67">
        <f t="shared" ca="1" si="26"/>
        <v>0.51872672586651392</v>
      </c>
    </row>
    <row r="59" spans="1:18" x14ac:dyDescent="0.2"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</row>
    <row r="60" spans="1:18" x14ac:dyDescent="0.2">
      <c r="C60" t="s">
        <v>97</v>
      </c>
      <c r="D60" s="59"/>
      <c r="E60" s="59"/>
      <c r="F60" s="59"/>
      <c r="G60" s="59"/>
      <c r="H60" s="83">
        <f>IS!H25*-1</f>
        <v>-1075</v>
      </c>
      <c r="I60" s="83">
        <f>IS!I25*-1</f>
        <v>-1010</v>
      </c>
      <c r="J60" s="83">
        <f>IS!J25*-1</f>
        <v>-1236</v>
      </c>
      <c r="K60" s="83">
        <f>IS!K25*-1</f>
        <v>-1297</v>
      </c>
      <c r="L60" s="83">
        <f>IS!L25*-1</f>
        <v>-1435</v>
      </c>
      <c r="M60" s="59">
        <f ca="1">M27*M61*-1</f>
        <v>-1470.875</v>
      </c>
      <c r="N60" s="59">
        <f t="shared" ref="N60:R60" ca="1" si="27">N27*N61*-1</f>
        <v>-1507.6468749999999</v>
      </c>
      <c r="O60" s="59">
        <f t="shared" ca="1" si="27"/>
        <v>-1545.3380468749997</v>
      </c>
      <c r="P60" s="59">
        <f t="shared" ca="1" si="27"/>
        <v>-1583.9714980468746</v>
      </c>
      <c r="Q60" s="59">
        <f t="shared" ca="1" si="27"/>
        <v>-1623.5707854980462</v>
      </c>
      <c r="R60" s="59">
        <f t="shared" ca="1" si="27"/>
        <v>-1664.1600551354973</v>
      </c>
    </row>
    <row r="61" spans="1:18" x14ac:dyDescent="0.2">
      <c r="C61" s="58" t="s">
        <v>92</v>
      </c>
      <c r="D61" s="59"/>
      <c r="E61" s="59"/>
      <c r="F61" s="59"/>
      <c r="G61" s="59"/>
      <c r="H61" s="85">
        <f>H60/H27*-1</f>
        <v>6.3802006053771732E-2</v>
      </c>
      <c r="I61" s="85">
        <f t="shared" ref="I61:L61" si="28">I60/I27*-1</f>
        <v>5.1407339542932765E-2</v>
      </c>
      <c r="J61" s="85">
        <f t="shared" si="28"/>
        <v>5.6034091939432408E-2</v>
      </c>
      <c r="K61" s="85">
        <f t="shared" si="28"/>
        <v>5.5001908316017131E-2</v>
      </c>
      <c r="L61" s="85">
        <f t="shared" si="28"/>
        <v>5.9886486937651279E-2</v>
      </c>
      <c r="M61" s="72">
        <f>L61</f>
        <v>5.9886486937651279E-2</v>
      </c>
      <c r="N61" s="72">
        <f t="shared" ref="N61:R61" si="29">M61</f>
        <v>5.9886486937651279E-2</v>
      </c>
      <c r="O61" s="72">
        <f t="shared" si="29"/>
        <v>5.9886486937651279E-2</v>
      </c>
      <c r="P61" s="72">
        <f t="shared" si="29"/>
        <v>5.9886486937651279E-2</v>
      </c>
      <c r="Q61" s="72">
        <f t="shared" si="29"/>
        <v>5.9886486937651279E-2</v>
      </c>
      <c r="R61" s="72">
        <f t="shared" si="29"/>
        <v>5.9886486937651279E-2</v>
      </c>
    </row>
    <row r="62" spans="1:18" x14ac:dyDescent="0.2">
      <c r="C62" s="57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</row>
    <row r="63" spans="1:18" x14ac:dyDescent="0.2">
      <c r="C63" t="s">
        <v>98</v>
      </c>
      <c r="D63" s="59"/>
      <c r="E63" s="59"/>
      <c r="F63" s="59"/>
      <c r="G63" s="59"/>
      <c r="H63" s="68">
        <f>H57+H60</f>
        <v>5207</v>
      </c>
      <c r="I63" s="68">
        <f t="shared" ref="I63:R63" si="30">I57+I60</f>
        <v>7259</v>
      </c>
      <c r="J63" s="68">
        <f t="shared" si="30"/>
        <v>8616</v>
      </c>
      <c r="K63" s="68">
        <f t="shared" si="30"/>
        <v>9543</v>
      </c>
      <c r="L63" s="68">
        <f t="shared" si="30"/>
        <v>9528</v>
      </c>
      <c r="M63" s="68">
        <f t="shared" ca="1" si="30"/>
        <v>9995.9187684301833</v>
      </c>
      <c r="N63" s="68">
        <f t="shared" ca="1" si="30"/>
        <v>10429.471346884497</v>
      </c>
      <c r="O63" s="68">
        <f t="shared" ca="1" si="30"/>
        <v>10837.244273201126</v>
      </c>
      <c r="P63" s="68">
        <f t="shared" ca="1" si="30"/>
        <v>11191.933051974942</v>
      </c>
      <c r="Q63" s="68">
        <f t="shared" ca="1" si="30"/>
        <v>12221.970581653115</v>
      </c>
      <c r="R63" s="68">
        <f t="shared" ca="1" si="30"/>
        <v>12750.515790135079</v>
      </c>
    </row>
    <row r="64" spans="1:18" s="57" customFormat="1" x14ac:dyDescent="0.2">
      <c r="A64" s="56"/>
      <c r="C64" s="58" t="s">
        <v>94</v>
      </c>
      <c r="D64" s="60"/>
      <c r="E64" s="60"/>
      <c r="F64" s="60"/>
      <c r="G64" s="60"/>
      <c r="H64" s="67">
        <f>H63/H$27</f>
        <v>0.30903911211347856</v>
      </c>
      <c r="I64" s="67">
        <f>I63/I$27</f>
        <v>0.36947116608133557</v>
      </c>
      <c r="J64" s="67">
        <f>J63/J$27</f>
        <v>0.3906065826457521</v>
      </c>
      <c r="K64" s="67">
        <f>K63/K$27</f>
        <v>0.40469021669988547</v>
      </c>
      <c r="L64" s="67">
        <f>L63/L$27</f>
        <v>0.39762958016860028</v>
      </c>
      <c r="M64" s="67">
        <f t="shared" ref="M64:R64" ca="1" si="31">M63/M$27</f>
        <v>0.40698255035636438</v>
      </c>
      <c r="N64" s="67">
        <f t="shared" ca="1" si="31"/>
        <v>0.41427764680095047</v>
      </c>
      <c r="O64" s="67">
        <f t="shared" ca="1" si="31"/>
        <v>0.41997573858976661</v>
      </c>
      <c r="P64" s="67">
        <f t="shared" ca="1" si="31"/>
        <v>0.42314243239263788</v>
      </c>
      <c r="Q64" s="67">
        <f t="shared" ca="1" si="31"/>
        <v>0.45081550378230073</v>
      </c>
      <c r="R64" s="67">
        <f t="shared" ca="1" si="31"/>
        <v>0.45884023892886261</v>
      </c>
    </row>
    <row r="65" spans="1:18" x14ac:dyDescent="0.2"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</row>
    <row r="66" spans="1:18" x14ac:dyDescent="0.2">
      <c r="C66" t="s">
        <v>115</v>
      </c>
      <c r="D66" s="59"/>
      <c r="E66" s="59"/>
      <c r="F66" s="59"/>
      <c r="G66" s="59"/>
      <c r="H66" s="83">
        <f>IS!H33*-1</f>
        <v>-1237</v>
      </c>
      <c r="I66" s="83">
        <f>IS!I33*-1</f>
        <v>-1339</v>
      </c>
      <c r="J66" s="83">
        <f>IS!J33*-1</f>
        <v>-1568</v>
      </c>
      <c r="K66" s="83">
        <f>IS!K33*-1</f>
        <v>-1899</v>
      </c>
      <c r="L66" s="83">
        <f>IS!L33*-1</f>
        <v>-1961</v>
      </c>
      <c r="M66" s="59">
        <f ca="1">M63*M67*-1</f>
        <v>-2016.8184650463661</v>
      </c>
      <c r="N66" s="59">
        <f t="shared" ref="N66:R66" ca="1" si="32">N63*N67*-1</f>
        <v>-2104.2938503562891</v>
      </c>
      <c r="O66" s="59">
        <f t="shared" ca="1" si="32"/>
        <v>-2186.5678250046972</v>
      </c>
      <c r="P66" s="59">
        <f t="shared" ca="1" si="32"/>
        <v>-2258.131319561598</v>
      </c>
      <c r="Q66" s="59">
        <f t="shared" ca="1" si="32"/>
        <v>-2465.9560085843491</v>
      </c>
      <c r="R66" s="59">
        <f t="shared" ca="1" si="32"/>
        <v>-2572.5975050563752</v>
      </c>
    </row>
    <row r="67" spans="1:18" s="57" customFormat="1" x14ac:dyDescent="0.2">
      <c r="A67" s="56"/>
      <c r="C67" s="58" t="s">
        <v>116</v>
      </c>
      <c r="D67" s="60"/>
      <c r="E67" s="60"/>
      <c r="F67" s="60"/>
      <c r="G67" s="60"/>
      <c r="H67" s="67">
        <f>H66/H63*-1</f>
        <v>0.23756481659304782</v>
      </c>
      <c r="I67" s="67">
        <f t="shared" ref="I67:L67" si="33">I66/I63*-1</f>
        <v>0.18446066951370713</v>
      </c>
      <c r="J67" s="67">
        <f t="shared" si="33"/>
        <v>0.18198700092850512</v>
      </c>
      <c r="K67" s="67">
        <f t="shared" si="33"/>
        <v>0.19899402703552341</v>
      </c>
      <c r="L67" s="67">
        <f t="shared" si="33"/>
        <v>0.20581444164567592</v>
      </c>
      <c r="M67" s="72">
        <f>AVERAGE(H67:L67)</f>
        <v>0.20176419114329186</v>
      </c>
      <c r="N67" s="72">
        <f>M67</f>
        <v>0.20176419114329186</v>
      </c>
      <c r="O67" s="72">
        <f t="shared" ref="O67:R67" si="34">N67</f>
        <v>0.20176419114329186</v>
      </c>
      <c r="P67" s="72">
        <f t="shared" si="34"/>
        <v>0.20176419114329186</v>
      </c>
      <c r="Q67" s="72">
        <f t="shared" si="34"/>
        <v>0.20176419114329186</v>
      </c>
      <c r="R67" s="72">
        <f t="shared" si="34"/>
        <v>0.20176419114329186</v>
      </c>
    </row>
    <row r="68" spans="1:18" x14ac:dyDescent="0.2"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</row>
    <row r="69" spans="1:18" x14ac:dyDescent="0.2">
      <c r="C69" t="s">
        <v>99</v>
      </c>
      <c r="D69" s="59"/>
      <c r="E69" s="59"/>
      <c r="F69" s="59"/>
      <c r="G69" s="59"/>
      <c r="H69" s="68">
        <f>H63+H66</f>
        <v>3970</v>
      </c>
      <c r="I69" s="68">
        <f t="shared" ref="I69:R69" si="35">I63+I66</f>
        <v>5920</v>
      </c>
      <c r="J69" s="68">
        <f t="shared" si="35"/>
        <v>7048</v>
      </c>
      <c r="K69" s="68">
        <f t="shared" si="35"/>
        <v>7644</v>
      </c>
      <c r="L69" s="68">
        <f t="shared" si="35"/>
        <v>7567</v>
      </c>
      <c r="M69" s="68">
        <f t="shared" ca="1" si="35"/>
        <v>7979.1003033838169</v>
      </c>
      <c r="N69" s="68">
        <f t="shared" ca="1" si="35"/>
        <v>8325.1774965282075</v>
      </c>
      <c r="O69" s="68">
        <f t="shared" ca="1" si="35"/>
        <v>8650.6764481964292</v>
      </c>
      <c r="P69" s="68">
        <f t="shared" ca="1" si="35"/>
        <v>8933.8017324133434</v>
      </c>
      <c r="Q69" s="68">
        <f t="shared" ca="1" si="35"/>
        <v>9756.0145730687655</v>
      </c>
      <c r="R69" s="68">
        <f t="shared" ca="1" si="35"/>
        <v>10177.918285078704</v>
      </c>
    </row>
    <row r="70" spans="1:18" s="57" customFormat="1" x14ac:dyDescent="0.2">
      <c r="A70" s="56"/>
      <c r="C70" s="58" t="s">
        <v>94</v>
      </c>
      <c r="D70" s="60"/>
      <c r="E70" s="60"/>
      <c r="F70" s="60"/>
      <c r="G70" s="60"/>
      <c r="H70" s="67">
        <f>H69/H$27</f>
        <v>0.23562229212416166</v>
      </c>
      <c r="I70" s="67">
        <f>I69/I$27</f>
        <v>0.30131826741996232</v>
      </c>
      <c r="J70" s="67">
        <f>J69/J$27</f>
        <v>0.3195212621271194</v>
      </c>
      <c r="K70" s="67">
        <f>K69/K$27</f>
        <v>0.32415928077689665</v>
      </c>
      <c r="L70" s="67">
        <f>L69/L$27</f>
        <v>0.3157916701443953</v>
      </c>
      <c r="M70" s="67">
        <f t="shared" ref="M70:R70" ca="1" si="36">M69/M$27</f>
        <v>0.32486804527427848</v>
      </c>
      <c r="N70" s="67">
        <f t="shared" ca="1" si="36"/>
        <v>0.33069125248541037</v>
      </c>
      <c r="O70" s="67">
        <f t="shared" ca="1" si="36"/>
        <v>0.33523967339339578</v>
      </c>
      <c r="P70" s="67">
        <f t="shared" ca="1" si="36"/>
        <v>0.33776744178253221</v>
      </c>
      <c r="Q70" s="67">
        <f t="shared" ca="1" si="36"/>
        <v>0.35985707830680919</v>
      </c>
      <c r="R70" s="67">
        <f t="shared" ca="1" si="36"/>
        <v>0.36626270925738585</v>
      </c>
    </row>
    <row r="71" spans="1:18" x14ac:dyDescent="0.2"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</row>
    <row r="72" spans="1:18" x14ac:dyDescent="0.2">
      <c r="A72" s="7" t="s">
        <v>8</v>
      </c>
      <c r="C72" s="4" t="s">
        <v>2</v>
      </c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</row>
    <row r="73" spans="1:18" x14ac:dyDescent="0.2"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</row>
    <row r="74" spans="1:18" ht="19" x14ac:dyDescent="0.35">
      <c r="C74" s="8"/>
      <c r="D74" s="62"/>
      <c r="E74" s="62"/>
      <c r="F74" s="62"/>
      <c r="G74" s="62"/>
      <c r="H74" s="63" t="s">
        <v>12</v>
      </c>
      <c r="I74" s="64"/>
      <c r="J74" s="64"/>
      <c r="K74" s="64"/>
      <c r="L74" s="64"/>
      <c r="M74" s="65" t="s">
        <v>13</v>
      </c>
      <c r="N74" s="65"/>
      <c r="O74" s="65"/>
      <c r="P74" s="65"/>
      <c r="Q74" s="65"/>
      <c r="R74" s="65"/>
    </row>
    <row r="75" spans="1:18" x14ac:dyDescent="0.2">
      <c r="C75" s="8" t="s">
        <v>11</v>
      </c>
      <c r="D75" s="62"/>
      <c r="E75" s="62"/>
      <c r="F75" s="62"/>
      <c r="G75" s="62"/>
      <c r="H75" s="86">
        <v>2020</v>
      </c>
      <c r="I75" s="86">
        <f>+H75+1</f>
        <v>2021</v>
      </c>
      <c r="J75" s="86">
        <f t="shared" ref="J75:R75" si="37">+I75+1</f>
        <v>2022</v>
      </c>
      <c r="K75" s="86">
        <f t="shared" si="37"/>
        <v>2023</v>
      </c>
      <c r="L75" s="86">
        <f t="shared" si="37"/>
        <v>2024</v>
      </c>
      <c r="M75" s="87">
        <f>+L75+1</f>
        <v>2025</v>
      </c>
      <c r="N75" s="87">
        <f>+M75+1</f>
        <v>2026</v>
      </c>
      <c r="O75" s="87">
        <f>+N75+1</f>
        <v>2027</v>
      </c>
      <c r="P75" s="87">
        <f t="shared" si="37"/>
        <v>2028</v>
      </c>
      <c r="Q75" s="87">
        <f t="shared" si="37"/>
        <v>2029</v>
      </c>
      <c r="R75" s="87">
        <f t="shared" si="37"/>
        <v>2030</v>
      </c>
    </row>
    <row r="76" spans="1:18" x14ac:dyDescent="0.2">
      <c r="C76" t="s">
        <v>87</v>
      </c>
      <c r="D76" s="59"/>
      <c r="E76" s="59"/>
      <c r="F76" s="59"/>
      <c r="G76" s="59"/>
      <c r="H76" s="88"/>
      <c r="I76" s="88"/>
      <c r="J76" s="88"/>
      <c r="K76" s="88"/>
      <c r="L76" s="88"/>
      <c r="M76" s="59">
        <f ca="1">M57</f>
        <v>11466.793768430183</v>
      </c>
      <c r="N76" s="59">
        <f t="shared" ref="N76:R76" ca="1" si="38">N57</f>
        <v>11937.118221884497</v>
      </c>
      <c r="O76" s="59">
        <f t="shared" ca="1" si="38"/>
        <v>12382.582320076126</v>
      </c>
      <c r="P76" s="59">
        <f t="shared" ca="1" si="38"/>
        <v>12775.904550021816</v>
      </c>
      <c r="Q76" s="59">
        <f t="shared" ca="1" si="38"/>
        <v>13845.541367151161</v>
      </c>
      <c r="R76" s="59">
        <f t="shared" ca="1" si="38"/>
        <v>14414.675845270576</v>
      </c>
    </row>
    <row r="77" spans="1:18" x14ac:dyDescent="0.2">
      <c r="C77" t="s">
        <v>100</v>
      </c>
      <c r="D77" s="59"/>
      <c r="E77" s="59"/>
      <c r="F77" s="59"/>
      <c r="G77" s="59"/>
      <c r="H77" s="88"/>
      <c r="I77" s="88"/>
      <c r="J77" s="88"/>
      <c r="K77" s="88"/>
      <c r="L77" s="88"/>
      <c r="M77" s="70">
        <f>(1-M67)</f>
        <v>0.79823580885670808</v>
      </c>
      <c r="N77" s="70">
        <f t="shared" ref="N77:R77" si="39">(1-N67)</f>
        <v>0.79823580885670808</v>
      </c>
      <c r="O77" s="70">
        <f t="shared" si="39"/>
        <v>0.79823580885670808</v>
      </c>
      <c r="P77" s="70">
        <f t="shared" si="39"/>
        <v>0.79823580885670808</v>
      </c>
      <c r="Q77" s="70">
        <f t="shared" si="39"/>
        <v>0.79823580885670808</v>
      </c>
      <c r="R77" s="70">
        <f t="shared" si="39"/>
        <v>0.79823580885670808</v>
      </c>
    </row>
    <row r="78" spans="1:18" x14ac:dyDescent="0.2">
      <c r="C78" s="18" t="s">
        <v>101</v>
      </c>
      <c r="D78" s="59"/>
      <c r="E78" s="59"/>
      <c r="F78" s="59"/>
      <c r="G78" s="59"/>
      <c r="H78" s="88"/>
      <c r="I78" s="88"/>
      <c r="J78" s="88"/>
      <c r="K78" s="88"/>
      <c r="L78" s="88"/>
      <c r="M78" s="68">
        <f ca="1">M76*M77</f>
        <v>9153.2053987359268</v>
      </c>
      <c r="N78" s="68">
        <f t="shared" ref="N78:R78" ca="1" si="40">N76*N77</f>
        <v>9528.6352192641207</v>
      </c>
      <c r="O78" s="68">
        <f t="shared" ca="1" si="40"/>
        <v>9884.2206140007402</v>
      </c>
      <c r="P78" s="68">
        <f t="shared" ca="1" si="40"/>
        <v>10198.184502362761</v>
      </c>
      <c r="Q78" s="68">
        <f t="shared" ca="1" si="40"/>
        <v>11052.006912266919</v>
      </c>
      <c r="R78" s="68">
        <f t="shared" ca="1" si="40"/>
        <v>11506.310432756811</v>
      </c>
    </row>
    <row r="79" spans="1:18" x14ac:dyDescent="0.2">
      <c r="C79" t="s">
        <v>102</v>
      </c>
      <c r="D79" s="59"/>
      <c r="E79" s="59"/>
      <c r="F79" s="59"/>
      <c r="G79" s="59"/>
      <c r="H79" s="88"/>
      <c r="I79" s="88"/>
      <c r="J79" s="88"/>
      <c r="K79" s="88"/>
      <c r="L79" s="88"/>
      <c r="M79" s="59">
        <f ca="1">-M51</f>
        <v>2005.5705615784909</v>
      </c>
      <c r="N79" s="59">
        <f t="shared" ref="N79:R79" ca="1" si="41">-N51</f>
        <v>2029.8478057483776</v>
      </c>
      <c r="O79" s="59">
        <f t="shared" ca="1" si="41"/>
        <v>2103.8269961434398</v>
      </c>
      <c r="P79" s="59">
        <f t="shared" ca="1" si="41"/>
        <v>2051.1496354927103</v>
      </c>
      <c r="Q79" s="59">
        <f t="shared" ca="1" si="41"/>
        <v>1800.6913779816321</v>
      </c>
      <c r="R79" s="59">
        <f t="shared" ca="1" si="41"/>
        <v>1770.1186117716818</v>
      </c>
    </row>
    <row r="80" spans="1:18" x14ac:dyDescent="0.2">
      <c r="C80" t="s">
        <v>103</v>
      </c>
      <c r="D80" s="59"/>
      <c r="E80" s="59"/>
      <c r="F80" s="59"/>
      <c r="G80" s="59"/>
      <c r="H80" s="88"/>
      <c r="I80" s="88"/>
      <c r="J80" s="88"/>
      <c r="K80" s="88"/>
      <c r="L80" s="88"/>
      <c r="M80" s="59">
        <f>-'Estimates IS'!H25</f>
        <v>-2707</v>
      </c>
      <c r="N80" s="59">
        <f>-'Estimates IS'!I25</f>
        <v>-2928</v>
      </c>
      <c r="O80" s="59">
        <f>-'Estimates IS'!J25</f>
        <v>-3261</v>
      </c>
      <c r="P80" s="59">
        <f>-'Estimates IS'!K25</f>
        <v>-3525</v>
      </c>
      <c r="Q80" s="59">
        <f>-'Estimates IS'!L25</f>
        <v>-3774.0819325740654</v>
      </c>
      <c r="R80" s="59">
        <f>-'Estimates IS'!M25</f>
        <v>-4040.7643783778699</v>
      </c>
    </row>
    <row r="81" spans="3:18" x14ac:dyDescent="0.2">
      <c r="C81" t="s">
        <v>104</v>
      </c>
      <c r="D81" s="59"/>
      <c r="E81" s="59"/>
      <c r="F81" s="59"/>
      <c r="G81" s="59"/>
      <c r="H81" s="88"/>
      <c r="I81" s="88"/>
      <c r="J81" s="88"/>
      <c r="K81" s="88"/>
      <c r="L81" s="88"/>
      <c r="M81" s="59">
        <f ca="1">-M113</f>
        <v>2.258534365205378</v>
      </c>
      <c r="N81" s="59">
        <f t="shared" ref="N81:R81" ca="1" si="42">-N113</f>
        <v>-56.977663580019225</v>
      </c>
      <c r="O81" s="59">
        <f t="shared" ca="1" si="42"/>
        <v>-55.284691539655341</v>
      </c>
      <c r="P81" s="59">
        <f t="shared" ca="1" si="42"/>
        <v>-57.367409220455784</v>
      </c>
      <c r="Q81" s="59">
        <f t="shared" ca="1" si="42"/>
        <v>-59.526891007103359</v>
      </c>
      <c r="R81" s="59">
        <f t="shared" ca="1" si="42"/>
        <v>-61.76592654202318</v>
      </c>
    </row>
    <row r="82" spans="3:18" x14ac:dyDescent="0.2">
      <c r="C82" s="18" t="s">
        <v>105</v>
      </c>
      <c r="D82" s="59"/>
      <c r="E82" s="59"/>
      <c r="F82" s="59"/>
      <c r="G82" s="59"/>
      <c r="H82" s="88"/>
      <c r="I82" s="88"/>
      <c r="J82" s="88"/>
      <c r="K82" s="88"/>
      <c r="L82" s="88"/>
      <c r="M82" s="68">
        <f ca="1">SUM(M78:M81)</f>
        <v>8454.0344946796249</v>
      </c>
      <c r="N82" s="68">
        <f t="shared" ref="N82:R82" ca="1" si="43">SUM(N78:N81)</f>
        <v>8573.5053614324788</v>
      </c>
      <c r="O82" s="68">
        <f t="shared" ca="1" si="43"/>
        <v>8671.7629186045251</v>
      </c>
      <c r="P82" s="68">
        <f t="shared" ca="1" si="43"/>
        <v>8666.9667286350159</v>
      </c>
      <c r="Q82" s="68">
        <f t="shared" ca="1" si="43"/>
        <v>9019.089466667383</v>
      </c>
      <c r="R82" s="68">
        <f t="shared" ca="1" si="43"/>
        <v>9173.8987396086013</v>
      </c>
    </row>
    <row r="83" spans="3:18" s="59" customFormat="1" x14ac:dyDescent="0.2"/>
    <row r="84" spans="3:18" x14ac:dyDescent="0.2">
      <c r="C84" t="s">
        <v>217</v>
      </c>
      <c r="D84" s="59"/>
      <c r="E84" s="59"/>
      <c r="F84" s="59"/>
      <c r="G84" s="59"/>
      <c r="H84" s="88"/>
      <c r="I84" s="88"/>
      <c r="J84" s="88"/>
      <c r="K84" s="88"/>
      <c r="L84" s="88"/>
      <c r="M84" s="59">
        <v>1</v>
      </c>
      <c r="N84" s="59">
        <f>M84+1</f>
        <v>2</v>
      </c>
      <c r="O84" s="59">
        <f t="shared" ref="O84:R84" si="44">N84+1</f>
        <v>3</v>
      </c>
      <c r="P84" s="59">
        <f t="shared" si="44"/>
        <v>4</v>
      </c>
      <c r="Q84" s="59">
        <f t="shared" si="44"/>
        <v>5</v>
      </c>
      <c r="R84" s="59">
        <f t="shared" si="44"/>
        <v>6</v>
      </c>
    </row>
    <row r="85" spans="3:18" x14ac:dyDescent="0.2">
      <c r="C85" t="s">
        <v>218</v>
      </c>
      <c r="D85" s="59"/>
      <c r="E85" s="59"/>
      <c r="F85" s="59"/>
      <c r="G85" s="59"/>
      <c r="H85" s="88"/>
      <c r="I85" s="88"/>
      <c r="J85" s="88"/>
      <c r="K85" s="88"/>
      <c r="L85" s="88"/>
      <c r="M85" s="111">
        <f>1-(9/12)</f>
        <v>0.25</v>
      </c>
      <c r="N85" s="111">
        <f>M85+1</f>
        <v>1.25</v>
      </c>
      <c r="O85" s="111">
        <f t="shared" ref="O85:R85" si="45">N85+1</f>
        <v>2.25</v>
      </c>
      <c r="P85" s="111">
        <f t="shared" si="45"/>
        <v>3.25</v>
      </c>
      <c r="Q85" s="111">
        <f t="shared" si="45"/>
        <v>4.25</v>
      </c>
      <c r="R85" s="111">
        <f t="shared" si="45"/>
        <v>5.25</v>
      </c>
    </row>
    <row r="86" spans="3:18" x14ac:dyDescent="0.2">
      <c r="C86" t="s">
        <v>106</v>
      </c>
      <c r="D86" s="59"/>
      <c r="E86" s="59"/>
      <c r="F86" s="59"/>
      <c r="G86" s="59"/>
      <c r="H86" s="88"/>
      <c r="I86" s="88"/>
      <c r="J86" s="88"/>
      <c r="K86" s="88"/>
      <c r="L86" s="88"/>
      <c r="M86" s="112">
        <f>M85*0.5</f>
        <v>0.125</v>
      </c>
      <c r="N86" s="111">
        <f>M85+0.5</f>
        <v>0.75</v>
      </c>
      <c r="O86" s="111">
        <f>N86+1</f>
        <v>1.75</v>
      </c>
      <c r="P86" s="111">
        <f t="shared" ref="P86:R86" si="46">O86+1</f>
        <v>2.75</v>
      </c>
      <c r="Q86" s="111">
        <f t="shared" si="46"/>
        <v>3.75</v>
      </c>
      <c r="R86" s="111">
        <f t="shared" si="46"/>
        <v>4.75</v>
      </c>
    </row>
    <row r="87" spans="3:18" s="59" customFormat="1" x14ac:dyDescent="0.2"/>
    <row r="88" spans="3:18" x14ac:dyDescent="0.2">
      <c r="C88" s="18" t="s">
        <v>107</v>
      </c>
      <c r="D88" s="59"/>
      <c r="E88" s="59"/>
      <c r="F88" s="59"/>
      <c r="G88" s="59"/>
      <c r="H88" s="88"/>
      <c r="I88" s="88"/>
      <c r="J88" s="88"/>
      <c r="K88" s="88"/>
      <c r="L88" s="88"/>
      <c r="M88" s="68">
        <f ca="1">M82/(1+wacc)^M86</f>
        <v>8391.3915926327718</v>
      </c>
      <c r="N88" s="68">
        <f ca="1">N82/(1+wacc)^N86</f>
        <v>8199.3280133501285</v>
      </c>
      <c r="O88" s="68">
        <f ca="1">O82/(1+wacc)^O86</f>
        <v>7814.2448535735575</v>
      </c>
      <c r="P88" s="68">
        <f ca="1">P82/(1+wacc)^P86</f>
        <v>7358.7920638840724</v>
      </c>
      <c r="Q88" s="68">
        <f ca="1">Q82/(1+wacc)^Q86</f>
        <v>7215.4243798884618</v>
      </c>
      <c r="R88" s="68">
        <f ca="1">R82/(1+wacc)^R86</f>
        <v>6915.3299941618689</v>
      </c>
    </row>
    <row r="89" spans="3:18" s="59" customFormat="1" x14ac:dyDescent="0.2"/>
    <row r="90" spans="3:18" x14ac:dyDescent="0.2">
      <c r="C90" s="66" t="s">
        <v>108</v>
      </c>
      <c r="D90" s="59"/>
      <c r="E90" s="59"/>
      <c r="F90" s="59"/>
      <c r="G90" s="59"/>
      <c r="H90" s="88"/>
      <c r="I90" s="88"/>
      <c r="J90" s="88"/>
      <c r="K90" s="88"/>
      <c r="L90" s="88"/>
      <c r="M90" s="59"/>
      <c r="N90" s="59"/>
      <c r="O90" s="59"/>
      <c r="P90" s="59"/>
      <c r="Q90" s="59"/>
      <c r="R90" s="59">
        <f ca="1">(R82*(1+Tgr))/(wacc-Tgr)</f>
        <v>259006.79387560653</v>
      </c>
    </row>
    <row r="91" spans="3:18" x14ac:dyDescent="0.2">
      <c r="C91" s="18" t="s">
        <v>109</v>
      </c>
      <c r="D91" s="59"/>
      <c r="E91" s="59"/>
      <c r="F91" s="59"/>
      <c r="G91" s="59"/>
      <c r="H91" s="88"/>
      <c r="I91" s="88"/>
      <c r="J91" s="88"/>
      <c r="K91" s="88"/>
      <c r="L91" s="88"/>
      <c r="M91" s="59"/>
      <c r="N91" s="59"/>
      <c r="O91" s="59"/>
      <c r="P91" s="59"/>
      <c r="Q91" s="59"/>
      <c r="R91" s="68">
        <f ca="1">R90/(1+wacc)^R86</f>
        <v>195240.5952167834</v>
      </c>
    </row>
    <row r="92" spans="3:18" s="59" customFormat="1" x14ac:dyDescent="0.2"/>
    <row r="93" spans="3:18" x14ac:dyDescent="0.2">
      <c r="C93" s="18" t="s">
        <v>110</v>
      </c>
      <c r="D93" s="59"/>
      <c r="E93" s="59"/>
      <c r="F93" s="59"/>
      <c r="G93" s="59"/>
      <c r="H93" s="88"/>
      <c r="I93" s="88"/>
      <c r="J93" s="88"/>
      <c r="K93" s="88"/>
      <c r="L93" s="88"/>
      <c r="M93" s="59"/>
      <c r="N93" s="59"/>
      <c r="O93" s="59"/>
      <c r="P93" s="59"/>
      <c r="Q93" s="59"/>
      <c r="R93" s="68">
        <f ca="1">R91+SUM(M88:R88)</f>
        <v>241135.10611427427</v>
      </c>
    </row>
    <row r="94" spans="3:18" x14ac:dyDescent="0.2">
      <c r="C94" s="66" t="s">
        <v>111</v>
      </c>
      <c r="D94" s="59"/>
      <c r="E94" s="59"/>
      <c r="F94" s="59"/>
      <c r="G94" s="59"/>
      <c r="H94" s="88"/>
      <c r="I94" s="88"/>
      <c r="J94" s="88"/>
      <c r="K94" s="88"/>
      <c r="L94" s="88"/>
      <c r="M94" s="59"/>
      <c r="N94" s="59"/>
      <c r="O94" s="59"/>
      <c r="P94" s="59"/>
      <c r="Q94" s="59"/>
      <c r="R94" s="59">
        <f>BS!L10</f>
        <v>1047.802964</v>
      </c>
    </row>
    <row r="95" spans="3:18" x14ac:dyDescent="0.2">
      <c r="C95" s="66" t="s">
        <v>112</v>
      </c>
      <c r="D95" s="59"/>
      <c r="E95" s="59"/>
      <c r="F95" s="59"/>
      <c r="G95" s="59"/>
      <c r="H95" s="88"/>
      <c r="I95" s="88"/>
      <c r="J95" s="88"/>
      <c r="K95" s="88"/>
      <c r="L95" s="88"/>
      <c r="M95" s="59"/>
      <c r="N95" s="59"/>
      <c r="O95" s="59"/>
      <c r="P95" s="59"/>
      <c r="Q95" s="59"/>
      <c r="R95" s="59">
        <f>-D</f>
        <v>-49552.871610000002</v>
      </c>
    </row>
    <row r="96" spans="3:18" x14ac:dyDescent="0.2">
      <c r="C96" s="18" t="s">
        <v>113</v>
      </c>
      <c r="D96" s="59"/>
      <c r="E96" s="59"/>
      <c r="F96" s="59"/>
      <c r="G96" s="59"/>
      <c r="H96" s="88"/>
      <c r="I96" s="88"/>
      <c r="J96" s="88"/>
      <c r="K96" s="88"/>
      <c r="L96" s="88"/>
      <c r="M96" s="59"/>
      <c r="N96" s="59"/>
      <c r="O96" s="59"/>
      <c r="P96" s="59"/>
      <c r="Q96" s="59"/>
      <c r="R96" s="68">
        <f ca="1">SUM(R93:R95)</f>
        <v>192630.03746827427</v>
      </c>
    </row>
    <row r="97" spans="1:18" x14ac:dyDescent="0.2">
      <c r="C97" s="66" t="s">
        <v>114</v>
      </c>
      <c r="D97" s="59"/>
      <c r="E97" s="59"/>
      <c r="F97" s="59"/>
      <c r="G97" s="59"/>
      <c r="H97" s="88"/>
      <c r="I97" s="88"/>
      <c r="J97" s="88"/>
      <c r="K97" s="88"/>
      <c r="L97" s="88"/>
      <c r="M97" s="59"/>
      <c r="N97" s="59"/>
      <c r="O97" s="59"/>
      <c r="P97" s="59"/>
      <c r="Q97" s="59"/>
      <c r="R97" s="59">
        <f>IS!M48</f>
        <v>712.1</v>
      </c>
    </row>
    <row r="98" spans="1:18" x14ac:dyDescent="0.2">
      <c r="C98" s="18" t="s">
        <v>18</v>
      </c>
      <c r="D98" s="59"/>
      <c r="E98" s="59"/>
      <c r="F98" s="59"/>
      <c r="G98" s="59"/>
      <c r="H98" s="88"/>
      <c r="I98" s="88"/>
      <c r="J98" s="88"/>
      <c r="K98" s="88"/>
      <c r="L98" s="88"/>
      <c r="M98" s="59"/>
      <c r="N98" s="59"/>
      <c r="O98" s="59"/>
      <c r="P98" s="59"/>
      <c r="Q98" s="59"/>
      <c r="R98" s="129">
        <f ca="1">R96/R97</f>
        <v>270.50981248177823</v>
      </c>
    </row>
    <row r="99" spans="1:18" x14ac:dyDescent="0.2">
      <c r="C99" s="6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</row>
    <row r="100" spans="1:18" x14ac:dyDescent="0.2">
      <c r="A100" s="7" t="s">
        <v>8</v>
      </c>
      <c r="C100" s="4" t="s">
        <v>208</v>
      </c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</row>
    <row r="101" spans="1:18" x14ac:dyDescent="0.2">
      <c r="C101" s="6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</row>
    <row r="102" spans="1:18" x14ac:dyDescent="0.2">
      <c r="C102" s="66" t="s">
        <v>209</v>
      </c>
      <c r="D102" s="59"/>
      <c r="E102" s="59"/>
      <c r="F102" s="59"/>
      <c r="G102" s="59"/>
      <c r="H102" s="59">
        <f>BS!H12</f>
        <v>1724.735406</v>
      </c>
      <c r="I102" s="59">
        <f>BS!I12</f>
        <v>1646.500198</v>
      </c>
      <c r="J102" s="59">
        <f>BS!J12</f>
        <v>1981.7287289999999</v>
      </c>
      <c r="K102" s="59">
        <f>BS!K12</f>
        <v>2252.2971779999998</v>
      </c>
      <c r="L102" s="59">
        <f>BS!L12</f>
        <v>2301.3036529999999</v>
      </c>
      <c r="M102" s="59">
        <f ca="1">M27*M103</f>
        <v>2296.7679789095419</v>
      </c>
      <c r="N102" s="59">
        <f t="shared" ref="N102:R102" ca="1" si="47">N27*N103</f>
        <v>2354.1871783822803</v>
      </c>
      <c r="O102" s="59">
        <f t="shared" ca="1" si="47"/>
        <v>2413.0418578418371</v>
      </c>
      <c r="P102" s="59">
        <f t="shared" ca="1" si="47"/>
        <v>2473.367904287883</v>
      </c>
      <c r="Q102" s="59">
        <f t="shared" ca="1" si="47"/>
        <v>2535.2021018950795</v>
      </c>
      <c r="R102" s="59">
        <f t="shared" ca="1" si="47"/>
        <v>2598.5821544424566</v>
      </c>
    </row>
    <row r="103" spans="1:18" x14ac:dyDescent="0.2">
      <c r="C103" s="58" t="s">
        <v>92</v>
      </c>
      <c r="D103" s="59"/>
      <c r="E103" s="59"/>
      <c r="F103" s="59"/>
      <c r="G103" s="59"/>
      <c r="H103" s="67">
        <f>H102/H$27</f>
        <v>0.10236425936257344</v>
      </c>
      <c r="I103" s="67">
        <f t="shared" ref="I103:L103" si="48">I102/I$27</f>
        <v>8.3804153204051504E-2</v>
      </c>
      <c r="J103" s="67">
        <f t="shared" si="48"/>
        <v>8.9841723138997187E-2</v>
      </c>
      <c r="K103" s="67">
        <f t="shared" si="48"/>
        <v>9.551321733599083E-2</v>
      </c>
      <c r="L103" s="67">
        <f t="shared" si="48"/>
        <v>9.6039715090560057E-2</v>
      </c>
      <c r="M103" s="72">
        <f>AVERAGE(H103:L103)</f>
        <v>9.3512613626434621E-2</v>
      </c>
      <c r="N103" s="72">
        <f>M103</f>
        <v>9.3512613626434621E-2</v>
      </c>
      <c r="O103" s="72">
        <f t="shared" ref="O103:R105" si="49">N103</f>
        <v>9.3512613626434621E-2</v>
      </c>
      <c r="P103" s="72">
        <f t="shared" si="49"/>
        <v>9.3512613626434621E-2</v>
      </c>
      <c r="Q103" s="72">
        <f t="shared" si="49"/>
        <v>9.3512613626434621E-2</v>
      </c>
      <c r="R103" s="72">
        <f t="shared" si="49"/>
        <v>9.3512613626434621E-2</v>
      </c>
    </row>
    <row r="104" spans="1:18" x14ac:dyDescent="0.2">
      <c r="C104" s="66" t="s">
        <v>210</v>
      </c>
      <c r="D104" s="59"/>
      <c r="E104" s="59"/>
      <c r="F104" s="59"/>
      <c r="G104" s="59"/>
      <c r="H104" s="59">
        <f>BS!H15</f>
        <v>41.763719999999999</v>
      </c>
      <c r="I104" s="59">
        <f>BS!I15</f>
        <v>48.892015999999998</v>
      </c>
      <c r="J104" s="59">
        <f>BS!J15</f>
        <v>48.723354</v>
      </c>
      <c r="K104" s="59">
        <f>BS!K15</f>
        <v>47.797947000000001</v>
      </c>
      <c r="L104" s="59">
        <f>BS!L15</f>
        <v>54.080153000000003</v>
      </c>
      <c r="M104" s="59">
        <f ca="1">M27*M105</f>
        <v>56.293856234458097</v>
      </c>
      <c r="N104" s="59">
        <f t="shared" ref="N104:R104" ca="1" si="50">N27*N105</f>
        <v>57.701202640319551</v>
      </c>
      <c r="O104" s="59">
        <f t="shared" ca="1" si="50"/>
        <v>59.143732706327526</v>
      </c>
      <c r="P104" s="59">
        <f t="shared" ca="1" si="50"/>
        <v>60.622326023985714</v>
      </c>
      <c r="Q104" s="59">
        <f t="shared" ca="1" si="50"/>
        <v>62.137884174585352</v>
      </c>
      <c r="R104" s="59">
        <f t="shared" ca="1" si="50"/>
        <v>63.691331278949981</v>
      </c>
    </row>
    <row r="105" spans="1:18" x14ac:dyDescent="0.2">
      <c r="C105" s="58" t="s">
        <v>92</v>
      </c>
      <c r="D105" s="59"/>
      <c r="E105" s="59"/>
      <c r="F105" s="59"/>
      <c r="G105" s="59"/>
      <c r="H105" s="110">
        <f>H104/H$27</f>
        <v>2.4787061546679328E-3</v>
      </c>
      <c r="I105" s="110">
        <f t="shared" ref="I105" si="51">I104/I$27</f>
        <v>2.4885232350995061E-3</v>
      </c>
      <c r="J105" s="110">
        <f t="shared" ref="J105" si="52">J104/J$27</f>
        <v>2.2088745126484723E-3</v>
      </c>
      <c r="K105" s="110">
        <f t="shared" ref="K105" si="53">K104/K$27</f>
        <v>2.0269686188032739E-3</v>
      </c>
      <c r="L105" s="110">
        <f t="shared" ref="L105" si="54">L104/L$27</f>
        <v>2.2569131541607546E-3</v>
      </c>
      <c r="M105" s="73">
        <f>AVERAGE(H105:L105)</f>
        <v>2.2919971350759882E-3</v>
      </c>
      <c r="N105" s="73">
        <f>M105</f>
        <v>2.2919971350759882E-3</v>
      </c>
      <c r="O105" s="73">
        <f t="shared" si="49"/>
        <v>2.2919971350759882E-3</v>
      </c>
      <c r="P105" s="73">
        <f t="shared" si="49"/>
        <v>2.2919971350759882E-3</v>
      </c>
      <c r="Q105" s="73">
        <f t="shared" si="49"/>
        <v>2.2919971350759882E-3</v>
      </c>
      <c r="R105" s="73">
        <f t="shared" si="49"/>
        <v>2.2919971350759882E-3</v>
      </c>
    </row>
    <row r="106" spans="1:18" x14ac:dyDescent="0.2">
      <c r="C106" s="18" t="s">
        <v>211</v>
      </c>
      <c r="D106" s="59"/>
      <c r="E106" s="59"/>
      <c r="F106" s="59"/>
      <c r="G106" s="59"/>
      <c r="H106" s="68">
        <f>H104+H102</f>
        <v>1766.4991259999999</v>
      </c>
      <c r="I106" s="68">
        <f t="shared" ref="I106:R106" si="55">I104+I102</f>
        <v>1695.392214</v>
      </c>
      <c r="J106" s="68">
        <f t="shared" si="55"/>
        <v>2030.4520829999999</v>
      </c>
      <c r="K106" s="68">
        <f t="shared" si="55"/>
        <v>2300.0951249999998</v>
      </c>
      <c r="L106" s="68">
        <f t="shared" si="55"/>
        <v>2355.3838059999998</v>
      </c>
      <c r="M106" s="68">
        <f ca="1">M104+M102</f>
        <v>2353.0618351439998</v>
      </c>
      <c r="N106" s="68">
        <f ca="1">N104+N102</f>
        <v>2411.8883810225998</v>
      </c>
      <c r="O106" s="68">
        <f t="shared" ca="1" si="55"/>
        <v>2472.1855905481648</v>
      </c>
      <c r="P106" s="68">
        <f t="shared" ca="1" si="55"/>
        <v>2533.9902303118688</v>
      </c>
      <c r="Q106" s="68">
        <f t="shared" ca="1" si="55"/>
        <v>2597.339986069665</v>
      </c>
      <c r="R106" s="68">
        <f t="shared" ca="1" si="55"/>
        <v>2662.2734857214068</v>
      </c>
    </row>
    <row r="107" spans="1:18" x14ac:dyDescent="0.2">
      <c r="C107" s="66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spans="1:18" x14ac:dyDescent="0.2">
      <c r="C108" s="66" t="s">
        <v>212</v>
      </c>
      <c r="D108" s="59"/>
      <c r="E108" s="59"/>
      <c r="F108" s="59"/>
      <c r="G108" s="59"/>
      <c r="H108" s="59">
        <f>BS!H41</f>
        <v>605.85999900000002</v>
      </c>
      <c r="I108" s="59">
        <f>BS!I41</f>
        <v>885.33240699999999</v>
      </c>
      <c r="J108" s="59">
        <f>BS!J41</f>
        <v>918.43522499999995</v>
      </c>
      <c r="K108" s="59">
        <f>BS!K41</f>
        <v>998.41581900000006</v>
      </c>
      <c r="L108" s="59">
        <f>BS!L41</f>
        <v>993.72281099999998</v>
      </c>
      <c r="M108" s="59">
        <f ca="1">M33*M109*-1</f>
        <v>993.65937450920558</v>
      </c>
      <c r="N108" s="59">
        <f t="shared" ref="N108:R108" ca="1" si="56">N33*N109*-1</f>
        <v>995.50825680778621</v>
      </c>
      <c r="O108" s="59">
        <f t="shared" ca="1" si="56"/>
        <v>1000.5207747936959</v>
      </c>
      <c r="P108" s="59">
        <f t="shared" ca="1" si="56"/>
        <v>1004.9580053369442</v>
      </c>
      <c r="Q108" s="59">
        <f t="shared" ca="1" si="56"/>
        <v>1008.7808700876369</v>
      </c>
      <c r="R108" s="59">
        <f t="shared" ca="1" si="56"/>
        <v>1011.9484431973555</v>
      </c>
    </row>
    <row r="109" spans="1:18" x14ac:dyDescent="0.2">
      <c r="C109" s="58" t="s">
        <v>216</v>
      </c>
      <c r="D109" s="59"/>
      <c r="E109" s="59"/>
      <c r="F109" s="59"/>
      <c r="G109" s="59"/>
      <c r="H109" s="67">
        <f>H108/H33*-1</f>
        <v>8.9254566735415444E-2</v>
      </c>
      <c r="I109" s="67">
        <f t="shared" ref="I109:L109" si="57">I108/I33*-1</f>
        <v>0.11832830887463244</v>
      </c>
      <c r="J109" s="67">
        <f t="shared" si="57"/>
        <v>0.11728198505937938</v>
      </c>
      <c r="K109" s="67">
        <f t="shared" si="57"/>
        <v>0.11859078501009622</v>
      </c>
      <c r="L109" s="67">
        <f t="shared" si="57"/>
        <v>0.11656572563049854</v>
      </c>
      <c r="M109" s="72">
        <f>L109</f>
        <v>0.11656572563049854</v>
      </c>
      <c r="N109" s="72">
        <f t="shared" ref="N109:R109" si="58">M109</f>
        <v>0.11656572563049854</v>
      </c>
      <c r="O109" s="72">
        <f t="shared" si="58"/>
        <v>0.11656572563049854</v>
      </c>
      <c r="P109" s="72">
        <f t="shared" si="58"/>
        <v>0.11656572563049854</v>
      </c>
      <c r="Q109" s="72">
        <f t="shared" si="58"/>
        <v>0.11656572563049854</v>
      </c>
      <c r="R109" s="72">
        <f t="shared" si="58"/>
        <v>0.11656572563049854</v>
      </c>
    </row>
    <row r="110" spans="1:18" x14ac:dyDescent="0.2">
      <c r="C110" s="18" t="s">
        <v>213</v>
      </c>
      <c r="D110" s="59"/>
      <c r="E110" s="59"/>
      <c r="F110" s="59"/>
      <c r="G110" s="59"/>
      <c r="H110" s="68">
        <f>H108</f>
        <v>605.85999900000002</v>
      </c>
      <c r="I110" s="68">
        <f t="shared" ref="I110:R110" si="59">I108</f>
        <v>885.33240699999999</v>
      </c>
      <c r="J110" s="68">
        <f t="shared" si="59"/>
        <v>918.43522499999995</v>
      </c>
      <c r="K110" s="68">
        <f t="shared" si="59"/>
        <v>998.41581900000006</v>
      </c>
      <c r="L110" s="68">
        <f t="shared" si="59"/>
        <v>993.72281099999998</v>
      </c>
      <c r="M110" s="68">
        <f t="shared" ca="1" si="59"/>
        <v>993.65937450920558</v>
      </c>
      <c r="N110" s="68">
        <f t="shared" ca="1" si="59"/>
        <v>995.50825680778621</v>
      </c>
      <c r="O110" s="68">
        <f t="shared" ca="1" si="59"/>
        <v>1000.5207747936959</v>
      </c>
      <c r="P110" s="68">
        <f t="shared" ca="1" si="59"/>
        <v>1004.9580053369442</v>
      </c>
      <c r="Q110" s="68">
        <f t="shared" ca="1" si="59"/>
        <v>1008.7808700876369</v>
      </c>
      <c r="R110" s="68">
        <f t="shared" ca="1" si="59"/>
        <v>1011.9484431973555</v>
      </c>
    </row>
    <row r="111" spans="1:18" x14ac:dyDescent="0.2">
      <c r="C111" s="18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</row>
    <row r="112" spans="1:18" x14ac:dyDescent="0.2">
      <c r="C112" s="18" t="s">
        <v>214</v>
      </c>
      <c r="D112" s="59"/>
      <c r="E112" s="59"/>
      <c r="F112" s="59"/>
      <c r="G112" s="59"/>
      <c r="H112" s="68">
        <f>H106-H110</f>
        <v>1160.6391269999999</v>
      </c>
      <c r="I112" s="68">
        <f t="shared" ref="I112:R112" si="60">I106-I110</f>
        <v>810.05980699999998</v>
      </c>
      <c r="J112" s="68">
        <f t="shared" si="60"/>
        <v>1112.016858</v>
      </c>
      <c r="K112" s="68">
        <f t="shared" si="60"/>
        <v>1301.6793059999998</v>
      </c>
      <c r="L112" s="68">
        <f t="shared" si="60"/>
        <v>1361.6609949999997</v>
      </c>
      <c r="M112" s="68">
        <f t="shared" ca="1" si="60"/>
        <v>1359.4024606347944</v>
      </c>
      <c r="N112" s="68">
        <f t="shared" ca="1" si="60"/>
        <v>1416.3801242148136</v>
      </c>
      <c r="O112" s="68">
        <f t="shared" ca="1" si="60"/>
        <v>1471.6648157544689</v>
      </c>
      <c r="P112" s="68">
        <f t="shared" ca="1" si="60"/>
        <v>1529.0322249749247</v>
      </c>
      <c r="Q112" s="68">
        <f t="shared" ca="1" si="60"/>
        <v>1588.5591159820281</v>
      </c>
      <c r="R112" s="68">
        <f t="shared" ca="1" si="60"/>
        <v>1650.3250425240512</v>
      </c>
    </row>
    <row r="113" spans="1:18" x14ac:dyDescent="0.2">
      <c r="C113" s="18" t="s">
        <v>215</v>
      </c>
      <c r="D113" s="59"/>
      <c r="E113" s="59"/>
      <c r="F113" s="59"/>
      <c r="G113" s="59"/>
      <c r="H113" s="59"/>
      <c r="I113" s="68">
        <f>I112-H112</f>
        <v>-350.57931999999994</v>
      </c>
      <c r="J113" s="68">
        <f t="shared" ref="J113:L113" si="61">J112-I112</f>
        <v>301.95705099999998</v>
      </c>
      <c r="K113" s="68">
        <f t="shared" si="61"/>
        <v>189.66244799999981</v>
      </c>
      <c r="L113" s="68">
        <f t="shared" si="61"/>
        <v>59.98168899999996</v>
      </c>
      <c r="M113" s="68">
        <f t="shared" ref="M113" ca="1" si="62">M112-L112</f>
        <v>-2.258534365205378</v>
      </c>
      <c r="N113" s="68">
        <f t="shared" ref="N113" ca="1" si="63">N112-M112</f>
        <v>56.977663580019225</v>
      </c>
      <c r="O113" s="68">
        <f t="shared" ref="O113" ca="1" si="64">O112-N112</f>
        <v>55.284691539655341</v>
      </c>
      <c r="P113" s="68">
        <f t="shared" ref="P113" ca="1" si="65">P112-O112</f>
        <v>57.367409220455784</v>
      </c>
      <c r="Q113" s="68">
        <f t="shared" ref="Q113" ca="1" si="66">Q112-P112</f>
        <v>59.526891007103359</v>
      </c>
      <c r="R113" s="68">
        <f t="shared" ref="R113" ca="1" si="67">R112-Q112</f>
        <v>61.76592654202318</v>
      </c>
    </row>
    <row r="114" spans="1:18" x14ac:dyDescent="0.2">
      <c r="C114" s="18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spans="1:18" x14ac:dyDescent="0.2">
      <c r="A115" s="7" t="s">
        <v>8</v>
      </c>
      <c r="C115" t="s">
        <v>14</v>
      </c>
    </row>
  </sheetData>
  <dataValidations count="1">
    <dataValidation type="list" allowBlank="1" showInputMessage="1" showErrorMessage="1" sqref="E16" xr:uid="{A5690996-6CF1-5540-B889-9C4A94D561CE}">
      <formula1>"1,2,3"</formula1>
    </dataValidation>
  </dataValidations>
  <pageMargins left="0.7" right="0.7" top="0.75" bottom="0.75" header="0.3" footer="0.3"/>
  <pageSetup paperSize="9" scale="35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0A21-A5D6-0546-A9B9-2B86ED743B2D}">
  <sheetPr>
    <tabColor rgb="FFC00000"/>
  </sheetPr>
  <dimension ref="A1"/>
  <sheetViews>
    <sheetView topLeftCell="XFD1048576" workbookViewId="0">
      <selection sqref="A1:XFD1048576"/>
    </sheetView>
  </sheetViews>
  <sheetFormatPr baseColWidth="10" defaultColWidth="0" defaultRowHeight="16" zeroHeight="1" x14ac:dyDescent="0.2"/>
  <cols>
    <col min="1" max="16384" width="10.83203125" hidden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470E-620C-124D-830B-6574DF490C47}">
  <dimension ref="A1:F21"/>
  <sheetViews>
    <sheetView showGridLines="0" workbookViewId="0">
      <selection activeCell="D9" sqref="D9"/>
    </sheetView>
  </sheetViews>
  <sheetFormatPr baseColWidth="10" defaultRowHeight="16" x14ac:dyDescent="0.2"/>
  <cols>
    <col min="1" max="1" width="2.83203125" style="113" customWidth="1"/>
    <col min="2" max="2" width="2.83203125" customWidth="1"/>
    <col min="4" max="4" width="20.33203125" bestFit="1" customWidth="1"/>
  </cols>
  <sheetData>
    <row r="1" spans="3:6" s="114" customFormat="1" x14ac:dyDescent="0.2"/>
    <row r="2" spans="3:6" s="114" customFormat="1" x14ac:dyDescent="0.2"/>
    <row r="3" spans="3:6" s="114" customFormat="1" ht="27" x14ac:dyDescent="0.35">
      <c r="C3" s="115" t="s">
        <v>219</v>
      </c>
    </row>
    <row r="5" spans="3:6" x14ac:dyDescent="0.2">
      <c r="C5" s="18" t="s">
        <v>222</v>
      </c>
    </row>
    <row r="6" spans="3:6" x14ac:dyDescent="0.2">
      <c r="C6" s="18" t="s">
        <v>220</v>
      </c>
    </row>
    <row r="7" spans="3:6" x14ac:dyDescent="0.2">
      <c r="C7" s="18" t="s">
        <v>221</v>
      </c>
    </row>
    <row r="9" spans="3:6" x14ac:dyDescent="0.2">
      <c r="C9" s="66" t="s">
        <v>223</v>
      </c>
      <c r="D9" s="117">
        <v>4.3799999999999999E-2</v>
      </c>
      <c r="F9" s="57" t="s">
        <v>233</v>
      </c>
    </row>
    <row r="10" spans="3:6" x14ac:dyDescent="0.2">
      <c r="C10" s="66" t="s">
        <v>224</v>
      </c>
      <c r="D10" s="118">
        <v>0.56999999999999995</v>
      </c>
      <c r="F10" s="57" t="s">
        <v>234</v>
      </c>
    </row>
    <row r="11" spans="3:6" x14ac:dyDescent="0.2">
      <c r="C11" s="66" t="s">
        <v>225</v>
      </c>
      <c r="D11" s="119">
        <v>4.5999999999999999E-2</v>
      </c>
      <c r="F11" s="57" t="s">
        <v>235</v>
      </c>
    </row>
    <row r="12" spans="3:6" x14ac:dyDescent="0.2">
      <c r="C12" s="18" t="s">
        <v>226</v>
      </c>
      <c r="D12" s="122">
        <f>D9+D10*D11</f>
        <v>7.0019999999999999E-2</v>
      </c>
    </row>
    <row r="14" spans="3:6" x14ac:dyDescent="0.2">
      <c r="C14" s="123" t="s">
        <v>227</v>
      </c>
      <c r="D14" s="120">
        <v>217140</v>
      </c>
      <c r="F14" s="57" t="s">
        <v>234</v>
      </c>
    </row>
    <row r="15" spans="3:6" x14ac:dyDescent="0.2">
      <c r="C15" s="123" t="s">
        <v>228</v>
      </c>
      <c r="D15" s="83">
        <f>BS!L48</f>
        <v>49552.871610000002</v>
      </c>
      <c r="F15" s="57" t="s">
        <v>236</v>
      </c>
    </row>
    <row r="16" spans="3:6" x14ac:dyDescent="0.2">
      <c r="C16" s="116" t="s">
        <v>229</v>
      </c>
      <c r="D16" s="70">
        <f>E/(SUM(D14:D15))</f>
        <v>0.81419499024906827</v>
      </c>
    </row>
    <row r="17" spans="3:4" x14ac:dyDescent="0.2">
      <c r="C17" s="116" t="s">
        <v>230</v>
      </c>
      <c r="D17" s="70">
        <f>D/SUM(D14:D15)</f>
        <v>0.18580500975093159</v>
      </c>
    </row>
    <row r="18" spans="3:4" x14ac:dyDescent="0.2">
      <c r="C18" s="123" t="s">
        <v>232</v>
      </c>
      <c r="D18" s="124">
        <f>(1-'DCF model'!M67)</f>
        <v>0.79823580885670808</v>
      </c>
    </row>
    <row r="19" spans="3:4" x14ac:dyDescent="0.2">
      <c r="C19" s="116" t="s">
        <v>231</v>
      </c>
      <c r="D19" s="121">
        <f>IS!L25/D</f>
        <v>2.8958967530560032E-2</v>
      </c>
    </row>
    <row r="21" spans="3:4" x14ac:dyDescent="0.2">
      <c r="C21" s="125" t="s">
        <v>219</v>
      </c>
      <c r="D21" s="126">
        <f>ke*E_perc+kd*Tax_shield*D_perc</f>
        <v>6.1305017591989974E-2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068E-40B2-D947-8C7E-9543C7572D74}">
  <dimension ref="B1:M27"/>
  <sheetViews>
    <sheetView showGridLines="0" workbookViewId="0">
      <selection activeCell="H29" sqref="H29"/>
    </sheetView>
  </sheetViews>
  <sheetFormatPr baseColWidth="10" defaultRowHeight="16" x14ac:dyDescent="0.2"/>
  <cols>
    <col min="2" max="2" width="24" bestFit="1" customWidth="1"/>
    <col min="4" max="4" width="20.33203125" bestFit="1" customWidth="1"/>
    <col min="7" max="7" width="10.83203125" style="81"/>
  </cols>
  <sheetData>
    <row r="1" spans="2:13" x14ac:dyDescent="0.2">
      <c r="B1" s="20" t="s">
        <v>119</v>
      </c>
      <c r="C1" s="21"/>
      <c r="D1" s="21"/>
      <c r="E1" s="21"/>
      <c r="F1" s="21"/>
      <c r="G1" s="75"/>
      <c r="H1" s="21"/>
      <c r="I1" s="21"/>
      <c r="J1" s="21"/>
      <c r="K1" s="21"/>
      <c r="L1" s="21"/>
      <c r="M1" s="21"/>
    </row>
    <row r="2" spans="2:13" x14ac:dyDescent="0.2">
      <c r="B2" s="21" t="s">
        <v>120</v>
      </c>
      <c r="C2" s="21"/>
      <c r="D2" s="21"/>
      <c r="E2" s="21"/>
      <c r="F2" s="21"/>
      <c r="G2" s="75"/>
      <c r="H2" s="21"/>
      <c r="I2" s="21"/>
      <c r="J2" s="21"/>
      <c r="K2" s="21"/>
      <c r="L2" s="21"/>
      <c r="M2" s="21"/>
    </row>
    <row r="3" spans="2:13" x14ac:dyDescent="0.2">
      <c r="B3" s="71"/>
      <c r="C3" s="71" t="s">
        <v>121</v>
      </c>
      <c r="D3" s="71" t="s">
        <v>122</v>
      </c>
      <c r="E3" s="71" t="s">
        <v>123</v>
      </c>
      <c r="F3" s="71" t="s">
        <v>124</v>
      </c>
      <c r="G3" s="76" t="s">
        <v>125</v>
      </c>
      <c r="H3" s="71" t="s">
        <v>126</v>
      </c>
      <c r="I3" s="71" t="s">
        <v>127</v>
      </c>
      <c r="J3" s="71" t="s">
        <v>128</v>
      </c>
      <c r="K3" s="71" t="s">
        <v>129</v>
      </c>
      <c r="L3" s="71" t="s">
        <v>130</v>
      </c>
      <c r="M3" s="71" t="s">
        <v>131</v>
      </c>
    </row>
    <row r="4" spans="2:13" x14ac:dyDescent="0.2">
      <c r="B4" s="47" t="s">
        <v>46</v>
      </c>
      <c r="C4" s="40">
        <v>15845</v>
      </c>
      <c r="D4" s="40">
        <v>20830</v>
      </c>
      <c r="E4" s="40">
        <v>21346</v>
      </c>
      <c r="F4" s="40">
        <v>23769</v>
      </c>
      <c r="G4" s="77">
        <v>25127</v>
      </c>
      <c r="H4" s="40">
        <v>23060</v>
      </c>
      <c r="I4" s="40">
        <v>24346</v>
      </c>
      <c r="J4" s="40">
        <v>25549</v>
      </c>
      <c r="K4" s="40">
        <v>26280</v>
      </c>
      <c r="L4" s="40">
        <v>26724</v>
      </c>
      <c r="M4" s="40">
        <v>27928</v>
      </c>
    </row>
    <row r="5" spans="2:13" x14ac:dyDescent="0.2">
      <c r="B5" s="54" t="s">
        <v>132</v>
      </c>
      <c r="C5" s="34">
        <v>5759</v>
      </c>
      <c r="D5" s="34">
        <v>7218</v>
      </c>
      <c r="E5" s="34">
        <v>6796</v>
      </c>
      <c r="F5" s="34">
        <v>7668</v>
      </c>
      <c r="G5" s="78">
        <v>8079</v>
      </c>
      <c r="H5" s="34">
        <v>7100</v>
      </c>
      <c r="I5" s="34">
        <v>7503</v>
      </c>
      <c r="J5" s="34">
        <v>7846</v>
      </c>
      <c r="K5" s="38" t="s">
        <v>133</v>
      </c>
      <c r="L5" s="38" t="s">
        <v>133</v>
      </c>
      <c r="M5" s="38" t="s">
        <v>133</v>
      </c>
    </row>
    <row r="6" spans="2:13" x14ac:dyDescent="0.2">
      <c r="B6" s="47" t="s">
        <v>52</v>
      </c>
      <c r="C6" s="41" t="s">
        <v>133</v>
      </c>
      <c r="D6" s="40">
        <v>10463</v>
      </c>
      <c r="E6" s="40">
        <v>11493</v>
      </c>
      <c r="F6" s="40">
        <v>13578</v>
      </c>
      <c r="G6" s="79" t="s">
        <v>133</v>
      </c>
      <c r="H6" s="40">
        <v>12019</v>
      </c>
      <c r="I6" s="40">
        <v>12871</v>
      </c>
      <c r="J6" s="41" t="s">
        <v>133</v>
      </c>
      <c r="K6" s="41" t="s">
        <v>133</v>
      </c>
      <c r="L6" s="41" t="s">
        <v>133</v>
      </c>
      <c r="M6" s="41" t="s">
        <v>133</v>
      </c>
    </row>
    <row r="7" spans="2:13" x14ac:dyDescent="0.2">
      <c r="B7" s="54" t="s">
        <v>134</v>
      </c>
      <c r="C7" s="38" t="s">
        <v>133</v>
      </c>
      <c r="D7" s="38" t="s">
        <v>133</v>
      </c>
      <c r="E7" s="38" t="s">
        <v>133</v>
      </c>
      <c r="F7" s="38" t="s">
        <v>133</v>
      </c>
      <c r="G7" s="80" t="s">
        <v>133</v>
      </c>
      <c r="H7" s="34">
        <v>2212</v>
      </c>
      <c r="I7" s="34">
        <v>2328</v>
      </c>
      <c r="J7" s="38" t="s">
        <v>133</v>
      </c>
      <c r="K7" s="38" t="s">
        <v>133</v>
      </c>
      <c r="L7" s="38" t="s">
        <v>133</v>
      </c>
      <c r="M7" s="38" t="s">
        <v>133</v>
      </c>
    </row>
    <row r="8" spans="2:13" x14ac:dyDescent="0.2">
      <c r="B8" s="47" t="s">
        <v>86</v>
      </c>
      <c r="C8" s="40">
        <v>7314</v>
      </c>
      <c r="D8" s="40">
        <v>10722</v>
      </c>
      <c r="E8" s="40">
        <v>11281</v>
      </c>
      <c r="F8" s="40">
        <v>12964</v>
      </c>
      <c r="G8" s="77">
        <v>13602</v>
      </c>
      <c r="H8" s="40">
        <v>12649</v>
      </c>
      <c r="I8" s="40">
        <v>13507</v>
      </c>
      <c r="J8" s="40">
        <v>14343</v>
      </c>
      <c r="K8" s="40">
        <v>14732</v>
      </c>
      <c r="L8" s="40">
        <v>15423</v>
      </c>
      <c r="M8" s="40">
        <v>16266</v>
      </c>
    </row>
    <row r="9" spans="2:13" x14ac:dyDescent="0.2">
      <c r="B9" s="54" t="s">
        <v>135</v>
      </c>
      <c r="C9" s="34">
        <v>5890</v>
      </c>
      <c r="D9" s="34">
        <v>9158</v>
      </c>
      <c r="E9" s="34">
        <v>9558</v>
      </c>
      <c r="F9" s="34">
        <v>11114</v>
      </c>
      <c r="G9" s="78">
        <v>11634</v>
      </c>
      <c r="H9" s="34">
        <v>10766</v>
      </c>
      <c r="I9" s="34">
        <v>11544</v>
      </c>
      <c r="J9" s="34">
        <v>12260</v>
      </c>
      <c r="K9" s="34">
        <v>12694</v>
      </c>
      <c r="L9" s="34">
        <v>13648</v>
      </c>
      <c r="M9" s="34">
        <v>14487</v>
      </c>
    </row>
    <row r="10" spans="2:13" x14ac:dyDescent="0.2">
      <c r="B10" s="47" t="s">
        <v>67</v>
      </c>
      <c r="C10" s="40">
        <v>4926</v>
      </c>
      <c r="D10" s="40">
        <v>7998</v>
      </c>
      <c r="E10" s="40">
        <v>8595</v>
      </c>
      <c r="F10" s="40">
        <v>9820</v>
      </c>
      <c r="G10" s="77">
        <v>10258</v>
      </c>
      <c r="H10" s="40">
        <v>9456</v>
      </c>
      <c r="I10" s="40">
        <v>10235</v>
      </c>
      <c r="J10" s="40">
        <v>10972</v>
      </c>
      <c r="K10" s="40">
        <v>11366</v>
      </c>
      <c r="L10" s="40">
        <v>12298</v>
      </c>
      <c r="M10" s="40">
        <v>13128</v>
      </c>
    </row>
    <row r="11" spans="2:13" x14ac:dyDescent="0.2">
      <c r="B11" s="54" t="s">
        <v>136</v>
      </c>
      <c r="C11" s="34">
        <v>1163</v>
      </c>
      <c r="D11" s="34">
        <v>1609</v>
      </c>
      <c r="E11" s="34">
        <v>1517</v>
      </c>
      <c r="F11" s="34">
        <v>1915</v>
      </c>
      <c r="G11" s="78">
        <v>2056</v>
      </c>
      <c r="H11" s="34">
        <v>2020</v>
      </c>
      <c r="I11" s="34">
        <v>2158</v>
      </c>
      <c r="J11" s="34">
        <v>2327</v>
      </c>
      <c r="K11" s="34">
        <v>2418</v>
      </c>
      <c r="L11" s="34">
        <v>2582</v>
      </c>
      <c r="M11" s="34">
        <v>2757</v>
      </c>
    </row>
    <row r="12" spans="2:13" x14ac:dyDescent="0.2">
      <c r="B12" s="47" t="s">
        <v>74</v>
      </c>
      <c r="C12" s="40">
        <v>3744</v>
      </c>
      <c r="D12" s="40">
        <v>6258</v>
      </c>
      <c r="E12" s="40">
        <v>6892</v>
      </c>
      <c r="F12" s="40">
        <v>8151</v>
      </c>
      <c r="G12" s="77">
        <v>8200</v>
      </c>
      <c r="H12" s="40">
        <v>7465</v>
      </c>
      <c r="I12" s="40">
        <v>8083</v>
      </c>
      <c r="J12" s="40">
        <v>8675</v>
      </c>
      <c r="K12" s="40">
        <v>8988</v>
      </c>
      <c r="L12" s="40">
        <v>9813</v>
      </c>
      <c r="M12" s="40">
        <v>10466</v>
      </c>
    </row>
    <row r="14" spans="2:13" x14ac:dyDescent="0.2">
      <c r="B14" t="s">
        <v>143</v>
      </c>
      <c r="H14" s="70">
        <f>H8/H4</f>
        <v>0.54852558542931484</v>
      </c>
      <c r="I14" s="70">
        <f t="shared" ref="I14:M14" si="0">I8/I4</f>
        <v>0.55479339521892712</v>
      </c>
      <c r="J14" s="70">
        <f t="shared" si="0"/>
        <v>0.56139183529688053</v>
      </c>
      <c r="K14" s="70">
        <f t="shared" si="0"/>
        <v>0.56057838660578385</v>
      </c>
      <c r="L14" s="70">
        <f t="shared" si="0"/>
        <v>0.57712168837000444</v>
      </c>
      <c r="M14" s="70">
        <f t="shared" si="0"/>
        <v>0.58242623890002865</v>
      </c>
    </row>
    <row r="15" spans="2:13" x14ac:dyDescent="0.2">
      <c r="H15" s="27">
        <f>H8-H6</f>
        <v>630</v>
      </c>
      <c r="I15" s="27">
        <f t="shared" ref="I15:M15" si="1">I8-I6</f>
        <v>636</v>
      </c>
      <c r="J15" s="27" t="e">
        <f t="shared" si="1"/>
        <v>#VALUE!</v>
      </c>
      <c r="K15" s="27" t="e">
        <f t="shared" si="1"/>
        <v>#VALUE!</v>
      </c>
      <c r="L15" s="27" t="e">
        <f t="shared" si="1"/>
        <v>#VALUE!</v>
      </c>
      <c r="M15" s="27" t="e">
        <f t="shared" si="1"/>
        <v>#VALUE!</v>
      </c>
    </row>
    <row r="17" spans="2:13" x14ac:dyDescent="0.2">
      <c r="H17" s="27">
        <f>H8-H9</f>
        <v>1883</v>
      </c>
      <c r="I17" s="27">
        <f t="shared" ref="I17:M17" si="2">I8-I9</f>
        <v>1963</v>
      </c>
      <c r="J17" s="27">
        <f t="shared" si="2"/>
        <v>2083</v>
      </c>
      <c r="K17" s="27">
        <f t="shared" si="2"/>
        <v>2038</v>
      </c>
      <c r="L17" s="27">
        <f t="shared" si="2"/>
        <v>1775</v>
      </c>
      <c r="M17" s="27">
        <f t="shared" si="2"/>
        <v>1779</v>
      </c>
    </row>
    <row r="18" spans="2:13" x14ac:dyDescent="0.2">
      <c r="H18" s="70">
        <f>H17/H4</f>
        <v>8.1656548135299226E-2</v>
      </c>
      <c r="I18" s="70">
        <f t="shared" ref="I18:M18" si="3">I17/I4</f>
        <v>8.0629261480325315E-2</v>
      </c>
      <c r="J18" s="70">
        <f t="shared" si="3"/>
        <v>8.1529609769462608E-2</v>
      </c>
      <c r="K18" s="70">
        <f t="shared" si="3"/>
        <v>7.754946727549468E-2</v>
      </c>
      <c r="L18" s="70">
        <f t="shared" si="3"/>
        <v>6.6419697650052387E-2</v>
      </c>
      <c r="M18" s="70">
        <f t="shared" si="3"/>
        <v>6.3699513033514746E-2</v>
      </c>
    </row>
    <row r="20" spans="2:13" x14ac:dyDescent="0.2">
      <c r="H20" s="67">
        <f>H12/H4</f>
        <v>0.32372072853425848</v>
      </c>
      <c r="I20" s="67">
        <f t="shared" ref="I20:M20" si="4">I12/I4</f>
        <v>0.33200525753717242</v>
      </c>
      <c r="J20" s="67">
        <f t="shared" si="4"/>
        <v>0.33954362205957178</v>
      </c>
      <c r="K20" s="67">
        <f t="shared" si="4"/>
        <v>0.34200913242009134</v>
      </c>
      <c r="L20" s="67">
        <f t="shared" si="4"/>
        <v>0.36719802424786707</v>
      </c>
      <c r="M20" s="67">
        <f t="shared" si="4"/>
        <v>0.37474935548553423</v>
      </c>
    </row>
    <row r="25" spans="2:13" x14ac:dyDescent="0.2">
      <c r="B25" s="17" t="s">
        <v>147</v>
      </c>
      <c r="C25">
        <v>1354</v>
      </c>
      <c r="D25">
        <v>1830</v>
      </c>
      <c r="E25">
        <v>1749</v>
      </c>
      <c r="F25">
        <v>2198</v>
      </c>
      <c r="G25" s="81">
        <v>2690</v>
      </c>
      <c r="H25" s="89">
        <v>2707</v>
      </c>
      <c r="I25" s="89">
        <v>2928</v>
      </c>
      <c r="J25" s="89">
        <v>3261</v>
      </c>
      <c r="K25" s="89">
        <v>3525</v>
      </c>
      <c r="L25" s="95">
        <f>K25*(1+L27)</f>
        <v>3774.0819325740654</v>
      </c>
      <c r="M25" s="95">
        <f>L25*(1+M27)</f>
        <v>4040.7643783778699</v>
      </c>
    </row>
    <row r="26" spans="2:13" x14ac:dyDescent="0.2">
      <c r="B26" t="s">
        <v>92</v>
      </c>
      <c r="C26" s="90">
        <f>C25/C4</f>
        <v>8.5452824234774377E-2</v>
      </c>
      <c r="D26" s="91">
        <f>D25/D4</f>
        <v>8.7854056649063844E-2</v>
      </c>
      <c r="E26" s="91">
        <f>E25/E4</f>
        <v>8.1935725662887662E-2</v>
      </c>
      <c r="F26" s="91">
        <f>F25/F4</f>
        <v>9.2473389709285203E-2</v>
      </c>
      <c r="G26" s="92">
        <f>G25/G4</f>
        <v>0.10705615473395153</v>
      </c>
      <c r="H26" s="92">
        <f>H25/H4</f>
        <v>0.11738941890719862</v>
      </c>
      <c r="I26" s="92">
        <f>I25/I4</f>
        <v>0.1202661628193543</v>
      </c>
      <c r="J26" s="92">
        <f>J25/J4</f>
        <v>0.12763708951426669</v>
      </c>
      <c r="K26" s="92">
        <f>K25/K4</f>
        <v>0.1341324200913242</v>
      </c>
      <c r="L26" s="70"/>
      <c r="M26" s="70"/>
    </row>
    <row r="27" spans="2:13" x14ac:dyDescent="0.2">
      <c r="B27" t="s">
        <v>90</v>
      </c>
      <c r="D27" s="94">
        <f>D25/C25-1</f>
        <v>0.35155096011816833</v>
      </c>
      <c r="E27" s="94">
        <f t="shared" ref="E27:K27" si="5">E25/D25-1</f>
        <v>-4.4262295081967218E-2</v>
      </c>
      <c r="F27" s="94">
        <f>F25/E25-1</f>
        <v>0.25671812464265287</v>
      </c>
      <c r="G27" s="94">
        <f t="shared" si="5"/>
        <v>0.22383985441310283</v>
      </c>
      <c r="H27" s="94">
        <f t="shared" si="5"/>
        <v>6.3197026022305813E-3</v>
      </c>
      <c r="I27" s="94">
        <f t="shared" si="5"/>
        <v>8.1640192094569741E-2</v>
      </c>
      <c r="J27" s="94">
        <f>J25/I25-1</f>
        <v>0.11372950819672134</v>
      </c>
      <c r="K27" s="94">
        <f>K25/J25-1</f>
        <v>8.0956761729530813E-2</v>
      </c>
      <c r="L27" s="94">
        <f>AVERAGE(H27:K27)</f>
        <v>7.0661541155763119E-2</v>
      </c>
      <c r="M27" s="94">
        <f>L27</f>
        <v>7.0661541155763119E-2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5E63-EB01-CC40-A894-CB4480EE08D7}">
  <dimension ref="B1:O56"/>
  <sheetViews>
    <sheetView showGridLines="0" topLeftCell="A24" workbookViewId="0">
      <selection activeCell="M48" sqref="M48"/>
    </sheetView>
  </sheetViews>
  <sheetFormatPr baseColWidth="10" defaultRowHeight="16" x14ac:dyDescent="0.2"/>
  <cols>
    <col min="2" max="2" width="47.33203125" bestFit="1" customWidth="1"/>
  </cols>
  <sheetData>
    <row r="1" spans="2:15" x14ac:dyDescent="0.2">
      <c r="B1" s="20" t="s">
        <v>29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2:15" x14ac:dyDescent="0.2">
      <c r="B2" s="22" t="s">
        <v>30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2:15" x14ac:dyDescent="0.2">
      <c r="B3" s="21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2:15" x14ac:dyDescent="0.2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2:15" x14ac:dyDescent="0.2">
      <c r="B5" s="24" t="s">
        <v>21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2:15" x14ac:dyDescent="0.2">
      <c r="B6" s="24" t="s">
        <v>31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2:15" x14ac:dyDescent="0.2">
      <c r="B7" s="24" t="s">
        <v>32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2:15" x14ac:dyDescent="0.2">
      <c r="B8" s="24"/>
      <c r="C8" s="24" t="s">
        <v>33</v>
      </c>
      <c r="D8" s="24" t="s">
        <v>34</v>
      </c>
      <c r="E8" s="24" t="s">
        <v>35</v>
      </c>
      <c r="F8" s="24" t="s">
        <v>36</v>
      </c>
      <c r="G8" s="24" t="s">
        <v>37</v>
      </c>
      <c r="H8" s="24" t="s">
        <v>38</v>
      </c>
      <c r="I8" s="24" t="s">
        <v>39</v>
      </c>
      <c r="J8" s="24" t="s">
        <v>40</v>
      </c>
      <c r="K8" s="24" t="s">
        <v>41</v>
      </c>
      <c r="L8" s="24" t="s">
        <v>42</v>
      </c>
      <c r="M8" s="24" t="s">
        <v>43</v>
      </c>
      <c r="O8" s="24" t="s">
        <v>117</v>
      </c>
    </row>
    <row r="9" spans="2:15" x14ac:dyDescent="0.2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 t="s">
        <v>44</v>
      </c>
      <c r="O9" t="s">
        <v>118</v>
      </c>
    </row>
    <row r="10" spans="2:15" x14ac:dyDescent="0.2">
      <c r="B10" s="24"/>
      <c r="C10" s="24"/>
      <c r="D10" s="24"/>
      <c r="E10" s="24"/>
      <c r="F10" s="24"/>
      <c r="G10" s="24" t="s">
        <v>45</v>
      </c>
      <c r="H10" s="24"/>
      <c r="I10" s="24"/>
      <c r="J10" s="24"/>
      <c r="K10" s="24"/>
      <c r="L10" s="24"/>
      <c r="M10" s="24"/>
    </row>
    <row r="11" spans="2:15" x14ac:dyDescent="0.2">
      <c r="B11" s="26" t="s">
        <v>46</v>
      </c>
      <c r="C11" s="29">
        <v>22917</v>
      </c>
      <c r="D11" s="29">
        <v>22258</v>
      </c>
      <c r="E11" s="29">
        <v>20232</v>
      </c>
      <c r="F11" s="29">
        <v>17822</v>
      </c>
      <c r="G11" s="29">
        <v>19088</v>
      </c>
      <c r="H11" s="29">
        <v>16849</v>
      </c>
      <c r="I11" s="29">
        <v>19647</v>
      </c>
      <c r="J11" s="29">
        <v>22058</v>
      </c>
      <c r="K11" s="29">
        <v>23581</v>
      </c>
      <c r="L11" s="29">
        <v>23962</v>
      </c>
      <c r="M11" s="29">
        <v>23790</v>
      </c>
      <c r="O11" s="70">
        <f>9/12</f>
        <v>0.75</v>
      </c>
    </row>
    <row r="12" spans="2:15" x14ac:dyDescent="0.2">
      <c r="B12" s="30" t="s">
        <v>47</v>
      </c>
      <c r="C12" s="31">
        <v>14089</v>
      </c>
      <c r="D12" s="31">
        <v>13033</v>
      </c>
      <c r="E12" s="31">
        <v>10816</v>
      </c>
      <c r="F12" s="31">
        <v>8679</v>
      </c>
      <c r="G12" s="31">
        <v>9134</v>
      </c>
      <c r="H12" s="31">
        <v>8324</v>
      </c>
      <c r="I12" s="31">
        <v>9063</v>
      </c>
      <c r="J12" s="31">
        <v>9611</v>
      </c>
      <c r="K12" s="31">
        <v>10249</v>
      </c>
      <c r="L12" s="31">
        <v>10463</v>
      </c>
      <c r="M12" s="31">
        <v>10171</v>
      </c>
      <c r="O12">
        <f>M11/O11</f>
        <v>31720</v>
      </c>
    </row>
    <row r="13" spans="2:15" x14ac:dyDescent="0.2">
      <c r="B13" s="33" t="s">
        <v>48</v>
      </c>
      <c r="C13" s="34">
        <v>12686</v>
      </c>
      <c r="D13" s="34">
        <v>11662</v>
      </c>
      <c r="E13" s="34">
        <v>9607</v>
      </c>
      <c r="F13" s="34">
        <v>7423</v>
      </c>
      <c r="G13" s="34">
        <v>7689</v>
      </c>
      <c r="H13" s="34">
        <v>6788</v>
      </c>
      <c r="I13" s="34">
        <v>7482</v>
      </c>
      <c r="J13" s="34">
        <v>7831</v>
      </c>
      <c r="K13" s="34">
        <v>8419</v>
      </c>
      <c r="L13" s="34">
        <v>8525</v>
      </c>
      <c r="M13" s="34">
        <v>8200</v>
      </c>
    </row>
    <row r="14" spans="2:15" x14ac:dyDescent="0.2">
      <c r="B14" s="35" t="s">
        <v>49</v>
      </c>
      <c r="C14" s="31">
        <v>1403</v>
      </c>
      <c r="D14" s="31">
        <v>1371</v>
      </c>
      <c r="E14" s="31">
        <v>1209</v>
      </c>
      <c r="F14" s="31">
        <v>1256</v>
      </c>
      <c r="G14" s="31">
        <v>1446</v>
      </c>
      <c r="H14" s="31">
        <v>1536</v>
      </c>
      <c r="I14" s="31">
        <v>1580</v>
      </c>
      <c r="J14" s="31">
        <v>1780</v>
      </c>
      <c r="K14" s="31">
        <v>1830</v>
      </c>
      <c r="L14" s="31">
        <v>1939</v>
      </c>
      <c r="M14" s="31">
        <v>1971</v>
      </c>
    </row>
    <row r="15" spans="2:15" x14ac:dyDescent="0.2">
      <c r="B15" s="37" t="s">
        <v>50</v>
      </c>
      <c r="C15" s="34">
        <v>1297</v>
      </c>
      <c r="D15" s="34">
        <v>1257</v>
      </c>
      <c r="E15" s="34">
        <v>1088</v>
      </c>
      <c r="F15" s="34">
        <v>1104</v>
      </c>
      <c r="G15" s="34">
        <v>1244</v>
      </c>
      <c r="H15" s="34">
        <v>1289</v>
      </c>
      <c r="I15" s="34">
        <v>1295</v>
      </c>
      <c r="J15" s="34">
        <v>1383</v>
      </c>
      <c r="K15" s="34">
        <v>1389</v>
      </c>
      <c r="L15" s="34">
        <v>1387</v>
      </c>
      <c r="M15" s="38"/>
    </row>
    <row r="16" spans="2:15" x14ac:dyDescent="0.2">
      <c r="B16" s="39" t="s">
        <v>51</v>
      </c>
      <c r="C16" s="40">
        <v>106</v>
      </c>
      <c r="D16" s="40">
        <v>114</v>
      </c>
      <c r="E16" s="40">
        <v>120</v>
      </c>
      <c r="F16" s="40">
        <v>152</v>
      </c>
      <c r="G16" s="40">
        <v>202</v>
      </c>
      <c r="H16" s="40">
        <v>247</v>
      </c>
      <c r="I16" s="40">
        <v>285</v>
      </c>
      <c r="J16" s="40">
        <v>396</v>
      </c>
      <c r="K16" s="40">
        <v>441</v>
      </c>
      <c r="L16" s="40">
        <v>552</v>
      </c>
      <c r="M16" s="41"/>
    </row>
    <row r="17" spans="2:13" x14ac:dyDescent="0.2">
      <c r="B17" s="26" t="s">
        <v>52</v>
      </c>
      <c r="C17" s="29">
        <v>8828</v>
      </c>
      <c r="D17" s="29">
        <v>9225</v>
      </c>
      <c r="E17" s="29">
        <v>9416</v>
      </c>
      <c r="F17" s="29">
        <v>9143</v>
      </c>
      <c r="G17" s="29">
        <v>9954</v>
      </c>
      <c r="H17" s="29">
        <v>8525</v>
      </c>
      <c r="I17" s="29">
        <v>10585</v>
      </c>
      <c r="J17" s="29">
        <v>12447</v>
      </c>
      <c r="K17" s="29">
        <v>13332</v>
      </c>
      <c r="L17" s="29">
        <v>13499</v>
      </c>
      <c r="M17" s="29">
        <v>13619</v>
      </c>
    </row>
    <row r="18" spans="2:13" x14ac:dyDescent="0.2">
      <c r="B18" s="30" t="s">
        <v>53</v>
      </c>
      <c r="C18" s="31">
        <v>2195</v>
      </c>
      <c r="D18" s="31">
        <v>2156</v>
      </c>
      <c r="E18" s="31">
        <v>1978</v>
      </c>
      <c r="F18" s="31">
        <v>1865</v>
      </c>
      <c r="G18" s="31">
        <v>2021</v>
      </c>
      <c r="H18" s="31">
        <v>2243</v>
      </c>
      <c r="I18" s="31">
        <v>2316</v>
      </c>
      <c r="J18" s="31">
        <v>2595</v>
      </c>
      <c r="K18" s="31">
        <v>2492</v>
      </c>
      <c r="L18" s="31">
        <v>2535</v>
      </c>
      <c r="M18" s="31">
        <v>2640</v>
      </c>
    </row>
    <row r="19" spans="2:13" x14ac:dyDescent="0.2">
      <c r="B19" s="33" t="s">
        <v>54</v>
      </c>
      <c r="C19" s="34">
        <v>2195</v>
      </c>
      <c r="D19" s="34">
        <v>2156</v>
      </c>
      <c r="E19" s="34">
        <v>1978</v>
      </c>
      <c r="F19" s="34">
        <v>1865</v>
      </c>
      <c r="G19" s="34">
        <v>2021</v>
      </c>
      <c r="H19" s="34">
        <v>2243</v>
      </c>
      <c r="I19" s="34">
        <v>2316</v>
      </c>
      <c r="J19" s="34">
        <v>2595</v>
      </c>
      <c r="K19" s="34">
        <v>2492</v>
      </c>
      <c r="L19" s="34">
        <v>2535</v>
      </c>
      <c r="M19" s="34">
        <v>2640</v>
      </c>
    </row>
    <row r="20" spans="2:13" x14ac:dyDescent="0.2">
      <c r="B20" s="42" t="s">
        <v>55</v>
      </c>
      <c r="C20" s="31">
        <v>6632</v>
      </c>
      <c r="D20" s="31">
        <v>7069</v>
      </c>
      <c r="E20" s="31">
        <v>7438</v>
      </c>
      <c r="F20" s="31">
        <v>7278</v>
      </c>
      <c r="G20" s="31">
        <v>7932</v>
      </c>
      <c r="H20" s="31">
        <v>6283</v>
      </c>
      <c r="I20" s="31">
        <v>8269</v>
      </c>
      <c r="J20" s="31">
        <v>9852</v>
      </c>
      <c r="K20" s="31">
        <v>10840</v>
      </c>
      <c r="L20" s="31">
        <v>10964</v>
      </c>
      <c r="M20" s="31">
        <v>10978</v>
      </c>
    </row>
    <row r="21" spans="2:13" x14ac:dyDescent="0.2">
      <c r="B21" s="43" t="s">
        <v>56</v>
      </c>
      <c r="C21" s="29">
        <v>-2</v>
      </c>
      <c r="D21" s="29">
        <v>218</v>
      </c>
      <c r="E21" s="29">
        <v>296</v>
      </c>
      <c r="F21" s="29">
        <v>356</v>
      </c>
      <c r="G21" s="29">
        <v>267</v>
      </c>
      <c r="H21" s="29">
        <v>-82</v>
      </c>
      <c r="I21" s="29">
        <v>118</v>
      </c>
      <c r="J21" s="29">
        <v>-1263</v>
      </c>
      <c r="K21" s="29">
        <v>861</v>
      </c>
      <c r="L21" s="29">
        <v>272</v>
      </c>
      <c r="M21" s="29">
        <v>2168</v>
      </c>
    </row>
    <row r="22" spans="2:13" x14ac:dyDescent="0.2">
      <c r="B22" s="44" t="s">
        <v>57</v>
      </c>
      <c r="C22" s="40">
        <v>9</v>
      </c>
      <c r="D22" s="40">
        <v>4</v>
      </c>
      <c r="E22" s="40">
        <v>6</v>
      </c>
      <c r="F22" s="40">
        <v>3</v>
      </c>
      <c r="G22" s="40">
        <v>33</v>
      </c>
      <c r="H22" s="40">
        <v>16</v>
      </c>
      <c r="I22" s="40">
        <v>8</v>
      </c>
      <c r="J22" s="40">
        <v>42</v>
      </c>
      <c r="K22" s="40">
        <v>172</v>
      </c>
      <c r="L22" s="40">
        <v>95</v>
      </c>
      <c r="M22" s="40">
        <v>73</v>
      </c>
    </row>
    <row r="23" spans="2:13" x14ac:dyDescent="0.2">
      <c r="B23" s="33" t="s">
        <v>58</v>
      </c>
      <c r="C23" s="45">
        <v>-132</v>
      </c>
      <c r="D23" s="34">
        <v>50</v>
      </c>
      <c r="E23" s="34">
        <v>163</v>
      </c>
      <c r="F23" s="34">
        <v>128</v>
      </c>
      <c r="G23" s="34">
        <v>137</v>
      </c>
      <c r="H23" s="34">
        <v>103</v>
      </c>
      <c r="I23" s="34">
        <v>149</v>
      </c>
      <c r="J23" s="34">
        <v>108</v>
      </c>
      <c r="K23" s="34">
        <v>142</v>
      </c>
      <c r="L23" s="34">
        <v>145</v>
      </c>
      <c r="M23" s="34">
        <v>176</v>
      </c>
    </row>
    <row r="24" spans="2:13" x14ac:dyDescent="0.2">
      <c r="B24" s="44" t="s">
        <v>59</v>
      </c>
      <c r="C24" s="40">
        <v>121</v>
      </c>
      <c r="D24" s="40">
        <v>165</v>
      </c>
      <c r="E24" s="40">
        <v>127</v>
      </c>
      <c r="F24" s="40">
        <v>224</v>
      </c>
      <c r="G24" s="40">
        <v>97</v>
      </c>
      <c r="H24" s="46">
        <v>-201</v>
      </c>
      <c r="I24" s="46">
        <v>-39</v>
      </c>
      <c r="J24" s="46">
        <v>-1413</v>
      </c>
      <c r="K24" s="40">
        <v>547</v>
      </c>
      <c r="L24" s="40">
        <v>31</v>
      </c>
      <c r="M24" s="40">
        <v>1919</v>
      </c>
    </row>
    <row r="25" spans="2:13" x14ac:dyDescent="0.2">
      <c r="B25" s="43" t="s">
        <v>60</v>
      </c>
      <c r="C25" s="29">
        <v>575</v>
      </c>
      <c r="D25" s="29">
        <v>799</v>
      </c>
      <c r="E25" s="29">
        <v>816</v>
      </c>
      <c r="F25" s="29">
        <v>831</v>
      </c>
      <c r="G25" s="29">
        <v>1057</v>
      </c>
      <c r="H25" s="29">
        <v>1075</v>
      </c>
      <c r="I25" s="29">
        <v>1010</v>
      </c>
      <c r="J25" s="29">
        <v>1236</v>
      </c>
      <c r="K25" s="29">
        <v>1297</v>
      </c>
      <c r="L25" s="29">
        <v>1435</v>
      </c>
      <c r="M25" s="29">
        <v>1460</v>
      </c>
    </row>
    <row r="26" spans="2:13" x14ac:dyDescent="0.2">
      <c r="B26" s="44" t="s">
        <v>61</v>
      </c>
      <c r="C26" s="40">
        <v>584</v>
      </c>
      <c r="D26" s="40">
        <v>806</v>
      </c>
      <c r="E26" s="40">
        <v>821</v>
      </c>
      <c r="F26" s="40">
        <v>835</v>
      </c>
      <c r="G26" s="40">
        <v>1063</v>
      </c>
      <c r="H26" s="40">
        <v>1080</v>
      </c>
      <c r="I26" s="40">
        <v>1016</v>
      </c>
      <c r="J26" s="40">
        <v>1245</v>
      </c>
      <c r="K26" s="40">
        <v>1303</v>
      </c>
      <c r="L26" s="40">
        <v>1443</v>
      </c>
      <c r="M26" s="40">
        <v>1460</v>
      </c>
    </row>
    <row r="27" spans="2:13" x14ac:dyDescent="0.2">
      <c r="B27" s="33" t="s">
        <v>62</v>
      </c>
      <c r="C27" s="34">
        <v>8</v>
      </c>
      <c r="D27" s="34">
        <v>6</v>
      </c>
      <c r="E27" s="34">
        <v>5</v>
      </c>
      <c r="F27" s="34">
        <v>5</v>
      </c>
      <c r="G27" s="34">
        <v>7</v>
      </c>
      <c r="H27" s="34">
        <v>5</v>
      </c>
      <c r="I27" s="34">
        <v>6</v>
      </c>
      <c r="J27" s="34">
        <v>9</v>
      </c>
      <c r="K27" s="34">
        <v>6</v>
      </c>
      <c r="L27" s="34">
        <v>8</v>
      </c>
      <c r="M27" s="38"/>
    </row>
    <row r="28" spans="2:13" x14ac:dyDescent="0.2">
      <c r="B28" s="30" t="s">
        <v>63</v>
      </c>
      <c r="C28" s="31">
        <v>143</v>
      </c>
      <c r="D28" s="31">
        <v>281</v>
      </c>
      <c r="E28" s="31">
        <v>-684</v>
      </c>
      <c r="F28" s="31">
        <v>177</v>
      </c>
      <c r="G28" s="31">
        <v>-21</v>
      </c>
      <c r="H28" s="31">
        <v>-261</v>
      </c>
      <c r="I28" s="31">
        <v>-346</v>
      </c>
      <c r="J28" s="31">
        <v>-94</v>
      </c>
      <c r="K28" s="31">
        <v>671</v>
      </c>
      <c r="L28" s="31">
        <v>238</v>
      </c>
      <c r="M28" s="31">
        <v>2015</v>
      </c>
    </row>
    <row r="29" spans="2:13" x14ac:dyDescent="0.2">
      <c r="B29" s="33" t="s">
        <v>64</v>
      </c>
      <c r="C29" s="34">
        <v>212</v>
      </c>
      <c r="D29" s="34">
        <v>309</v>
      </c>
      <c r="E29" s="45">
        <v>-623</v>
      </c>
      <c r="F29" s="34">
        <v>196</v>
      </c>
      <c r="G29" s="34">
        <v>66</v>
      </c>
      <c r="H29" s="45">
        <v>-235</v>
      </c>
      <c r="I29" s="45">
        <v>-241</v>
      </c>
      <c r="J29" s="34">
        <v>961</v>
      </c>
      <c r="K29" s="34">
        <v>335</v>
      </c>
      <c r="L29" s="34">
        <v>268</v>
      </c>
      <c r="M29" s="34">
        <v>138</v>
      </c>
    </row>
    <row r="30" spans="2:13" x14ac:dyDescent="0.2">
      <c r="B30" s="35" t="s">
        <v>65</v>
      </c>
      <c r="C30" s="31">
        <v>69</v>
      </c>
      <c r="D30" s="31">
        <v>27</v>
      </c>
      <c r="E30" s="31">
        <v>61</v>
      </c>
      <c r="F30" s="31">
        <v>19</v>
      </c>
      <c r="G30" s="31">
        <v>87</v>
      </c>
      <c r="H30" s="31">
        <v>26</v>
      </c>
      <c r="I30" s="31">
        <v>104</v>
      </c>
      <c r="J30" s="31">
        <v>1055</v>
      </c>
      <c r="K30" s="31">
        <v>-336</v>
      </c>
      <c r="L30" s="31">
        <v>31</v>
      </c>
      <c r="M30" s="31">
        <v>-1878</v>
      </c>
    </row>
    <row r="31" spans="2:13" x14ac:dyDescent="0.2">
      <c r="B31" s="37" t="s">
        <v>66</v>
      </c>
      <c r="C31" s="34">
        <v>69</v>
      </c>
      <c r="D31" s="34">
        <v>27</v>
      </c>
      <c r="E31" s="34">
        <v>61</v>
      </c>
      <c r="F31" s="34">
        <v>19</v>
      </c>
      <c r="G31" s="34">
        <v>87</v>
      </c>
      <c r="H31" s="34">
        <v>26</v>
      </c>
      <c r="I31" s="34">
        <v>104</v>
      </c>
      <c r="J31" s="34">
        <v>1055</v>
      </c>
      <c r="K31" s="45">
        <v>-336</v>
      </c>
      <c r="L31" s="34">
        <v>31</v>
      </c>
      <c r="M31" s="45">
        <v>-1878</v>
      </c>
    </row>
    <row r="32" spans="2:13" x14ac:dyDescent="0.2">
      <c r="B32" s="42" t="s">
        <v>67</v>
      </c>
      <c r="C32" s="31">
        <v>5912</v>
      </c>
      <c r="D32" s="31">
        <v>6207</v>
      </c>
      <c r="E32" s="31">
        <v>7601</v>
      </c>
      <c r="F32" s="31">
        <v>6625</v>
      </c>
      <c r="G32" s="31">
        <v>7164</v>
      </c>
      <c r="H32" s="31">
        <v>5387</v>
      </c>
      <c r="I32" s="31">
        <v>7723</v>
      </c>
      <c r="J32" s="31">
        <v>7446</v>
      </c>
      <c r="K32" s="31">
        <v>9733</v>
      </c>
      <c r="L32" s="31">
        <v>9564</v>
      </c>
      <c r="M32" s="31">
        <v>9671</v>
      </c>
    </row>
    <row r="33" spans="2:13" x14ac:dyDescent="0.2">
      <c r="B33" s="43" t="s">
        <v>68</v>
      </c>
      <c r="C33" s="29">
        <v>1827</v>
      </c>
      <c r="D33" s="29">
        <v>1970</v>
      </c>
      <c r="E33" s="29">
        <v>2998</v>
      </c>
      <c r="F33" s="29">
        <v>1604</v>
      </c>
      <c r="G33" s="29">
        <v>1780</v>
      </c>
      <c r="H33" s="29">
        <v>1237</v>
      </c>
      <c r="I33" s="29">
        <v>1339</v>
      </c>
      <c r="J33" s="29">
        <v>1568</v>
      </c>
      <c r="K33" s="29">
        <v>1899</v>
      </c>
      <c r="L33" s="29">
        <v>1961</v>
      </c>
      <c r="M33" s="29">
        <v>2048</v>
      </c>
    </row>
    <row r="34" spans="2:13" x14ac:dyDescent="0.2">
      <c r="B34" s="44" t="s">
        <v>69</v>
      </c>
      <c r="C34" s="40">
        <v>1093</v>
      </c>
      <c r="D34" s="40">
        <v>1056</v>
      </c>
      <c r="E34" s="40">
        <v>1951</v>
      </c>
      <c r="F34" s="40">
        <v>404</v>
      </c>
      <c r="G34" s="40">
        <v>640</v>
      </c>
      <c r="H34" s="40">
        <v>591</v>
      </c>
      <c r="I34" s="40">
        <v>944</v>
      </c>
      <c r="J34" s="40">
        <v>727</v>
      </c>
      <c r="K34" s="40">
        <v>1482</v>
      </c>
      <c r="L34" s="40">
        <v>1554</v>
      </c>
      <c r="M34" s="41"/>
    </row>
    <row r="35" spans="2:13" x14ac:dyDescent="0.2">
      <c r="B35" s="33" t="s">
        <v>70</v>
      </c>
      <c r="C35" s="34">
        <v>736</v>
      </c>
      <c r="D35" s="34">
        <v>1401</v>
      </c>
      <c r="E35" s="34">
        <v>1079</v>
      </c>
      <c r="F35" s="34">
        <v>1112</v>
      </c>
      <c r="G35" s="34">
        <v>1006</v>
      </c>
      <c r="H35" s="34">
        <v>641</v>
      </c>
      <c r="I35" s="34">
        <v>757</v>
      </c>
      <c r="J35" s="34">
        <v>1170</v>
      </c>
      <c r="K35" s="34">
        <v>1052</v>
      </c>
      <c r="L35" s="34">
        <v>937</v>
      </c>
      <c r="M35" s="38"/>
    </row>
    <row r="36" spans="2:13" x14ac:dyDescent="0.2">
      <c r="B36" s="44" t="s">
        <v>71</v>
      </c>
      <c r="C36" s="40">
        <v>3</v>
      </c>
      <c r="D36" s="46">
        <v>-98</v>
      </c>
      <c r="E36" s="46">
        <v>-95</v>
      </c>
      <c r="F36" s="40">
        <v>139</v>
      </c>
      <c r="G36" s="40">
        <v>52</v>
      </c>
      <c r="H36" s="40">
        <v>828</v>
      </c>
      <c r="I36" s="46">
        <v>-170</v>
      </c>
      <c r="J36" s="46">
        <v>-120</v>
      </c>
      <c r="K36" s="46">
        <v>-162</v>
      </c>
      <c r="L36" s="46">
        <v>-89</v>
      </c>
      <c r="M36" s="41"/>
    </row>
    <row r="37" spans="2:13" x14ac:dyDescent="0.2">
      <c r="B37" s="33" t="s">
        <v>72</v>
      </c>
      <c r="C37" s="45">
        <v>-4</v>
      </c>
      <c r="D37" s="45">
        <v>-389</v>
      </c>
      <c r="E37" s="34">
        <v>63</v>
      </c>
      <c r="F37" s="45">
        <v>-52</v>
      </c>
      <c r="G37" s="34">
        <v>81</v>
      </c>
      <c r="H37" s="45">
        <v>-822</v>
      </c>
      <c r="I37" s="45">
        <v>-192</v>
      </c>
      <c r="J37" s="45">
        <v>-209</v>
      </c>
      <c r="K37" s="45">
        <v>-472</v>
      </c>
      <c r="L37" s="45">
        <v>-442</v>
      </c>
      <c r="M37" s="38"/>
    </row>
    <row r="38" spans="2:13" x14ac:dyDescent="0.2">
      <c r="B38" s="41" t="s">
        <v>73</v>
      </c>
      <c r="C38" s="40">
        <v>4084</v>
      </c>
      <c r="D38" s="40">
        <v>4237</v>
      </c>
      <c r="E38" s="40">
        <v>4603</v>
      </c>
      <c r="F38" s="40">
        <v>5022</v>
      </c>
      <c r="G38" s="40">
        <v>5383</v>
      </c>
      <c r="H38" s="40">
        <v>4150</v>
      </c>
      <c r="I38" s="40">
        <v>6384</v>
      </c>
      <c r="J38" s="40">
        <v>5878</v>
      </c>
      <c r="K38" s="40">
        <v>7833</v>
      </c>
      <c r="L38" s="40">
        <v>7602</v>
      </c>
      <c r="M38" s="40">
        <v>7623</v>
      </c>
    </row>
    <row r="39" spans="2:13" x14ac:dyDescent="0.2">
      <c r="B39" s="26" t="s">
        <v>74</v>
      </c>
      <c r="C39" s="29">
        <v>4084</v>
      </c>
      <c r="D39" s="29">
        <v>4237</v>
      </c>
      <c r="E39" s="29">
        <v>4603</v>
      </c>
      <c r="F39" s="29">
        <v>5022</v>
      </c>
      <c r="G39" s="29">
        <v>5383</v>
      </c>
      <c r="H39" s="29">
        <v>4150</v>
      </c>
      <c r="I39" s="29">
        <v>6384</v>
      </c>
      <c r="J39" s="29">
        <v>5878</v>
      </c>
      <c r="K39" s="29">
        <v>7833</v>
      </c>
      <c r="L39" s="29">
        <v>7602</v>
      </c>
      <c r="M39" s="29">
        <v>7623</v>
      </c>
    </row>
    <row r="40" spans="2:13" x14ac:dyDescent="0.2">
      <c r="B40" s="47" t="s">
        <v>75</v>
      </c>
      <c r="C40" s="40">
        <v>4084</v>
      </c>
      <c r="D40" s="40">
        <v>4237</v>
      </c>
      <c r="E40" s="40">
        <v>4603</v>
      </c>
      <c r="F40" s="40">
        <v>5022</v>
      </c>
      <c r="G40" s="40">
        <v>5383</v>
      </c>
      <c r="H40" s="40">
        <v>4150</v>
      </c>
      <c r="I40" s="40">
        <v>6384</v>
      </c>
      <c r="J40" s="40">
        <v>5878</v>
      </c>
      <c r="K40" s="40">
        <v>7833</v>
      </c>
      <c r="L40" s="40">
        <v>7602</v>
      </c>
      <c r="M40" s="40">
        <v>7623</v>
      </c>
    </row>
    <row r="41" spans="2:13" x14ac:dyDescent="0.2">
      <c r="B41" s="26" t="s">
        <v>76</v>
      </c>
      <c r="C41" s="26"/>
      <c r="D41" s="26"/>
      <c r="E41" s="26"/>
      <c r="F41" s="26"/>
      <c r="G41" s="26"/>
      <c r="H41" s="26"/>
      <c r="I41" s="26"/>
      <c r="J41" s="26"/>
      <c r="K41" s="26"/>
      <c r="L41" s="69"/>
      <c r="M41" s="26"/>
    </row>
    <row r="42" spans="2:13" x14ac:dyDescent="0.2">
      <c r="B42" s="47" t="s">
        <v>77</v>
      </c>
      <c r="C42" s="48">
        <v>4.43</v>
      </c>
      <c r="D42" s="48">
        <v>5.15</v>
      </c>
      <c r="E42" s="48">
        <v>5.0599999999999996</v>
      </c>
      <c r="F42" s="48">
        <v>6.55</v>
      </c>
      <c r="G42" s="48">
        <v>7.02</v>
      </c>
      <c r="H42" s="48">
        <v>5.29</v>
      </c>
      <c r="I42" s="48">
        <v>8.17</v>
      </c>
      <c r="J42" s="48">
        <v>7.84</v>
      </c>
      <c r="K42" s="48">
        <v>11.34</v>
      </c>
      <c r="L42" s="48">
        <v>10.76</v>
      </c>
      <c r="M42" s="48">
        <v>12.62</v>
      </c>
    </row>
    <row r="43" spans="2:13" x14ac:dyDescent="0.2">
      <c r="B43" s="43" t="s">
        <v>78</v>
      </c>
      <c r="C43" s="50">
        <v>4.3499999999999996</v>
      </c>
      <c r="D43" s="50">
        <v>4.96</v>
      </c>
      <c r="E43" s="50">
        <v>5.7</v>
      </c>
      <c r="F43" s="50">
        <v>6.45</v>
      </c>
      <c r="G43" s="50">
        <v>7.1</v>
      </c>
      <c r="H43" s="50">
        <v>5.57</v>
      </c>
      <c r="I43" s="50">
        <v>8.5500000000000007</v>
      </c>
      <c r="J43" s="50">
        <v>7.98</v>
      </c>
      <c r="K43" s="50">
        <v>10.76</v>
      </c>
      <c r="L43" s="50">
        <v>10.58</v>
      </c>
      <c r="M43" s="50">
        <v>10.67</v>
      </c>
    </row>
    <row r="44" spans="2:13" x14ac:dyDescent="0.2">
      <c r="B44" s="44" t="s">
        <v>79</v>
      </c>
      <c r="C44" s="48">
        <v>939.4</v>
      </c>
      <c r="D44" s="48">
        <v>854.4</v>
      </c>
      <c r="E44" s="48">
        <v>807.4</v>
      </c>
      <c r="F44" s="48">
        <v>778.2</v>
      </c>
      <c r="G44" s="48">
        <v>758.1</v>
      </c>
      <c r="H44" s="48">
        <v>744.6</v>
      </c>
      <c r="I44" s="48">
        <v>746.3</v>
      </c>
      <c r="J44" s="48">
        <v>736.5</v>
      </c>
      <c r="K44" s="48">
        <v>727.9</v>
      </c>
      <c r="L44" s="48">
        <v>718.3</v>
      </c>
      <c r="M44" s="48">
        <v>712.9</v>
      </c>
    </row>
    <row r="45" spans="2:13" x14ac:dyDescent="0.2">
      <c r="B45" s="33" t="s">
        <v>80</v>
      </c>
      <c r="C45" s="51">
        <v>906.8</v>
      </c>
      <c r="D45" s="51">
        <v>819.3</v>
      </c>
      <c r="E45" s="51">
        <v>794.1</v>
      </c>
      <c r="F45" s="51">
        <v>767.1</v>
      </c>
      <c r="G45" s="51">
        <v>746.3</v>
      </c>
      <c r="H45" s="51">
        <v>745.4</v>
      </c>
      <c r="I45" s="51">
        <v>745.4</v>
      </c>
      <c r="J45" s="51">
        <v>744.8</v>
      </c>
      <c r="K45" s="51">
        <v>731.3</v>
      </c>
      <c r="L45" s="51">
        <v>715.2</v>
      </c>
      <c r="M45" s="51">
        <v>712.1</v>
      </c>
    </row>
    <row r="46" spans="2:13" x14ac:dyDescent="0.2">
      <c r="B46" s="30" t="s">
        <v>81</v>
      </c>
      <c r="C46" s="52">
        <v>4.33</v>
      </c>
      <c r="D46" s="52">
        <v>4.92</v>
      </c>
      <c r="E46" s="52">
        <v>5.65</v>
      </c>
      <c r="F46" s="52">
        <v>6.39</v>
      </c>
      <c r="G46" s="52">
        <v>7.04</v>
      </c>
      <c r="H46" s="52">
        <v>5.53</v>
      </c>
      <c r="I46" s="52">
        <v>8.49</v>
      </c>
      <c r="J46" s="52">
        <v>7.93</v>
      </c>
      <c r="K46" s="52">
        <v>10.7</v>
      </c>
      <c r="L46" s="52">
        <v>10.53</v>
      </c>
      <c r="M46" s="52">
        <v>10.62</v>
      </c>
    </row>
    <row r="47" spans="2:13" x14ac:dyDescent="0.2">
      <c r="B47" s="33" t="s">
        <v>82</v>
      </c>
      <c r="C47" s="51">
        <v>944.6</v>
      </c>
      <c r="D47" s="51">
        <v>861.2</v>
      </c>
      <c r="E47" s="51">
        <v>815.5</v>
      </c>
      <c r="F47" s="51">
        <v>785.6</v>
      </c>
      <c r="G47" s="51">
        <v>764.9</v>
      </c>
      <c r="H47" s="51">
        <v>750.1</v>
      </c>
      <c r="I47" s="51">
        <v>751.8</v>
      </c>
      <c r="J47" s="51">
        <v>741.3</v>
      </c>
      <c r="K47" s="51">
        <v>732.3</v>
      </c>
      <c r="L47" s="51">
        <v>721.9</v>
      </c>
      <c r="M47" s="51">
        <v>715.9</v>
      </c>
    </row>
    <row r="48" spans="2:13" x14ac:dyDescent="0.2">
      <c r="B48" s="44" t="s">
        <v>80</v>
      </c>
      <c r="C48" s="48">
        <v>906.8</v>
      </c>
      <c r="D48" s="48">
        <v>819.3</v>
      </c>
      <c r="E48" s="48">
        <v>794.1</v>
      </c>
      <c r="F48" s="48">
        <v>767.1</v>
      </c>
      <c r="G48" s="48">
        <v>746.3</v>
      </c>
      <c r="H48" s="48">
        <v>745.4</v>
      </c>
      <c r="I48" s="48">
        <v>745.4</v>
      </c>
      <c r="J48" s="48">
        <v>744.8</v>
      </c>
      <c r="K48" s="48">
        <v>731.3</v>
      </c>
      <c r="L48" s="48">
        <v>715.2</v>
      </c>
      <c r="M48" s="48">
        <v>712.1</v>
      </c>
    </row>
    <row r="49" spans="2:13" x14ac:dyDescent="0.2">
      <c r="B49" s="54" t="s">
        <v>83</v>
      </c>
      <c r="C49" s="51">
        <v>88.03</v>
      </c>
      <c r="D49" s="51">
        <v>91.89</v>
      </c>
      <c r="E49" s="51">
        <v>88.7</v>
      </c>
      <c r="F49" s="51">
        <v>90.97</v>
      </c>
      <c r="G49" s="51">
        <v>75.150000000000006</v>
      </c>
      <c r="H49" s="51">
        <v>92.54</v>
      </c>
      <c r="I49" s="51">
        <v>95.26</v>
      </c>
      <c r="J49" s="51">
        <v>93.07</v>
      </c>
      <c r="K49" s="51">
        <v>86.94</v>
      </c>
      <c r="L49" s="51">
        <v>85.76</v>
      </c>
      <c r="M49" s="38"/>
    </row>
    <row r="50" spans="2:13" x14ac:dyDescent="0.2">
      <c r="B50" s="30" t="s">
        <v>84</v>
      </c>
      <c r="C50" s="52">
        <v>3.1</v>
      </c>
      <c r="D50" s="52">
        <v>3.26</v>
      </c>
      <c r="E50" s="52">
        <v>3.4</v>
      </c>
      <c r="F50" s="52">
        <v>3.55</v>
      </c>
      <c r="G50" s="52">
        <v>4.2300000000000004</v>
      </c>
      <c r="H50" s="52">
        <v>4.42</v>
      </c>
      <c r="I50" s="52">
        <v>4.4400000000000004</v>
      </c>
      <c r="J50" s="52">
        <v>5.39</v>
      </c>
      <c r="K50" s="52">
        <v>5.76</v>
      </c>
      <c r="L50" s="52">
        <v>6.27</v>
      </c>
      <c r="M50" s="52">
        <v>6.41</v>
      </c>
    </row>
    <row r="51" spans="2:13" x14ac:dyDescent="0.2">
      <c r="B51" s="33" t="s">
        <v>85</v>
      </c>
      <c r="C51" s="51">
        <v>71.67</v>
      </c>
      <c r="D51" s="51">
        <v>66.36</v>
      </c>
      <c r="E51" s="51">
        <v>60.13</v>
      </c>
      <c r="F51" s="51">
        <v>55.57</v>
      </c>
      <c r="G51" s="51">
        <v>60.05</v>
      </c>
      <c r="H51" s="51">
        <v>79.92</v>
      </c>
      <c r="I51" s="51">
        <v>52.31</v>
      </c>
      <c r="J51" s="51">
        <v>67.92</v>
      </c>
      <c r="K51" s="51">
        <v>53.87</v>
      </c>
      <c r="L51" s="51">
        <v>59.52</v>
      </c>
      <c r="M51" s="51">
        <v>60.38</v>
      </c>
    </row>
    <row r="52" spans="2:13" x14ac:dyDescent="0.2">
      <c r="B52" s="42" t="s">
        <v>86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2:13" x14ac:dyDescent="0.2">
      <c r="B53" s="43" t="s">
        <v>86</v>
      </c>
      <c r="C53" s="29">
        <v>8035</v>
      </c>
      <c r="D53" s="29">
        <v>8440</v>
      </c>
      <c r="E53" s="29">
        <v>8647</v>
      </c>
      <c r="F53" s="29">
        <v>8534</v>
      </c>
      <c r="G53" s="29">
        <v>9378</v>
      </c>
      <c r="H53" s="29">
        <v>7819</v>
      </c>
      <c r="I53" s="29">
        <v>9849</v>
      </c>
      <c r="J53" s="29">
        <v>11632</v>
      </c>
      <c r="K53" s="29">
        <v>12669</v>
      </c>
      <c r="L53" s="29">
        <v>12903</v>
      </c>
      <c r="M53" s="29">
        <v>12949</v>
      </c>
    </row>
    <row r="54" spans="2:13" x14ac:dyDescent="0.2">
      <c r="B54" s="44" t="s">
        <v>87</v>
      </c>
      <c r="C54" s="40">
        <v>6632</v>
      </c>
      <c r="D54" s="40">
        <v>7069</v>
      </c>
      <c r="E54" s="40">
        <v>7438</v>
      </c>
      <c r="F54" s="40">
        <v>7278</v>
      </c>
      <c r="G54" s="40">
        <v>7932</v>
      </c>
      <c r="H54" s="40">
        <v>6283</v>
      </c>
      <c r="I54" s="40">
        <v>8269</v>
      </c>
      <c r="J54" s="40">
        <v>9852</v>
      </c>
      <c r="K54" s="40">
        <v>10840</v>
      </c>
      <c r="L54" s="40">
        <v>10964</v>
      </c>
      <c r="M54" s="40">
        <v>10978</v>
      </c>
    </row>
    <row r="55" spans="2:13" x14ac:dyDescent="0.2">
      <c r="B55" s="33" t="s">
        <v>49</v>
      </c>
      <c r="C55" s="34">
        <v>1403</v>
      </c>
      <c r="D55" s="34">
        <v>1371</v>
      </c>
      <c r="E55" s="34">
        <v>1209</v>
      </c>
      <c r="F55" s="34">
        <v>1256</v>
      </c>
      <c r="G55" s="34">
        <v>1446</v>
      </c>
      <c r="H55" s="34">
        <v>1536</v>
      </c>
      <c r="I55" s="34">
        <v>1580</v>
      </c>
      <c r="J55" s="34">
        <v>1780</v>
      </c>
      <c r="K55" s="34">
        <v>1830</v>
      </c>
      <c r="L55" s="34">
        <v>1939</v>
      </c>
      <c r="M55" s="34">
        <v>1971</v>
      </c>
    </row>
    <row r="56" spans="2:13" x14ac:dyDescent="0.2">
      <c r="B56" s="55" t="s">
        <v>88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C5F1-A82A-A74C-8B49-447E88F171C3}">
  <dimension ref="B4:M70"/>
  <sheetViews>
    <sheetView topLeftCell="A39" workbookViewId="0">
      <selection activeCell="L48" sqref="L48"/>
    </sheetView>
  </sheetViews>
  <sheetFormatPr baseColWidth="10" defaultRowHeight="16" x14ac:dyDescent="0.2"/>
  <cols>
    <col min="2" max="2" width="59.5" bestFit="1" customWidth="1"/>
  </cols>
  <sheetData>
    <row r="4" spans="2:13" x14ac:dyDescent="0.2">
      <c r="B4" s="96" t="s">
        <v>21</v>
      </c>
      <c r="C4" s="96"/>
      <c r="D4" s="96"/>
      <c r="E4" s="96"/>
      <c r="F4" s="96"/>
      <c r="G4" s="96"/>
      <c r="H4" s="96"/>
      <c r="I4" s="96"/>
      <c r="J4" s="96"/>
      <c r="K4" s="96"/>
      <c r="L4" s="96"/>
    </row>
    <row r="5" spans="2:13" x14ac:dyDescent="0.2">
      <c r="B5" s="96" t="s">
        <v>31</v>
      </c>
      <c r="C5" s="96"/>
      <c r="D5" s="96"/>
      <c r="E5" s="96"/>
      <c r="F5" s="96"/>
      <c r="G5" s="96"/>
      <c r="H5" s="96"/>
      <c r="I5" s="96"/>
      <c r="J5" s="96"/>
      <c r="K5" s="96"/>
      <c r="L5" s="96"/>
    </row>
    <row r="6" spans="2:13" x14ac:dyDescent="0.2">
      <c r="B6" s="96" t="s">
        <v>32</v>
      </c>
      <c r="C6" s="96"/>
      <c r="D6" s="96"/>
      <c r="E6" s="96"/>
      <c r="F6" s="96"/>
      <c r="G6" s="96"/>
      <c r="H6" s="96"/>
      <c r="I6" s="96"/>
      <c r="J6" s="96"/>
      <c r="K6" s="96"/>
      <c r="L6" s="96"/>
    </row>
    <row r="7" spans="2:13" x14ac:dyDescent="0.2">
      <c r="B7" s="96"/>
      <c r="C7" s="96" t="s">
        <v>33</v>
      </c>
      <c r="D7" s="96" t="s">
        <v>34</v>
      </c>
      <c r="E7" s="96" t="s">
        <v>35</v>
      </c>
      <c r="F7" s="96" t="s">
        <v>36</v>
      </c>
      <c r="G7" s="96" t="s">
        <v>37</v>
      </c>
      <c r="H7" s="96" t="s">
        <v>38</v>
      </c>
      <c r="I7" s="96" t="s">
        <v>39</v>
      </c>
      <c r="J7" s="96" t="s">
        <v>40</v>
      </c>
      <c r="K7" s="96" t="s">
        <v>41</v>
      </c>
      <c r="L7" s="96" t="s">
        <v>42</v>
      </c>
      <c r="M7" s="96"/>
    </row>
    <row r="8" spans="2:13" x14ac:dyDescent="0.2">
      <c r="B8" s="96"/>
      <c r="C8" s="96"/>
      <c r="D8" s="96"/>
      <c r="E8" s="96"/>
      <c r="F8" s="96"/>
      <c r="G8" s="96" t="s">
        <v>45</v>
      </c>
      <c r="H8" s="96"/>
      <c r="I8" s="96"/>
      <c r="J8" s="96"/>
      <c r="K8" s="96"/>
      <c r="L8" s="96"/>
    </row>
    <row r="9" spans="2:13" x14ac:dyDescent="0.2">
      <c r="B9" s="97" t="s">
        <v>148</v>
      </c>
      <c r="C9" s="97"/>
      <c r="D9" s="97"/>
      <c r="E9" s="97"/>
      <c r="F9" s="97"/>
      <c r="G9" s="97"/>
      <c r="H9" s="97"/>
      <c r="I9" s="97"/>
      <c r="J9" s="97"/>
      <c r="K9" s="97"/>
      <c r="L9" s="97"/>
    </row>
    <row r="10" spans="2:13" x14ac:dyDescent="0.2">
      <c r="B10" s="43" t="s">
        <v>149</v>
      </c>
      <c r="C10" s="29">
        <v>7074.9332059999997</v>
      </c>
      <c r="D10" s="29">
        <v>1159.8957330000001</v>
      </c>
      <c r="E10" s="29">
        <v>2051.79882</v>
      </c>
      <c r="F10" s="29">
        <v>757.55586600000004</v>
      </c>
      <c r="G10" s="29">
        <v>800.44544099999996</v>
      </c>
      <c r="H10" s="29">
        <v>2818.928535</v>
      </c>
      <c r="I10" s="29">
        <v>4141.0482430000002</v>
      </c>
      <c r="J10" s="29">
        <v>2420.9885060000001</v>
      </c>
      <c r="K10" s="29">
        <v>4145.4760729999998</v>
      </c>
      <c r="L10" s="29">
        <v>1047.802964</v>
      </c>
    </row>
    <row r="11" spans="2:13" x14ac:dyDescent="0.2">
      <c r="B11" s="98" t="s">
        <v>150</v>
      </c>
      <c r="C11" s="99">
        <v>7074.9332059999997</v>
      </c>
      <c r="D11" s="99">
        <v>1159.8957330000001</v>
      </c>
      <c r="E11" s="99">
        <v>2051.79882</v>
      </c>
      <c r="F11" s="99">
        <v>757.55586600000004</v>
      </c>
      <c r="G11" s="99">
        <v>800.44544099999996</v>
      </c>
      <c r="H11" s="99">
        <v>2818.928535</v>
      </c>
      <c r="I11" s="99">
        <v>4141.0482430000002</v>
      </c>
      <c r="J11" s="99">
        <v>2420.9885060000001</v>
      </c>
      <c r="K11" s="99">
        <v>4145.4760729999998</v>
      </c>
      <c r="L11" s="99">
        <v>1047.802964</v>
      </c>
    </row>
    <row r="12" spans="2:13" x14ac:dyDescent="0.2">
      <c r="B12" s="43" t="s">
        <v>151</v>
      </c>
      <c r="C12" s="29">
        <v>1195.526089</v>
      </c>
      <c r="D12" s="29">
        <v>1397.5823929999999</v>
      </c>
      <c r="E12" s="29">
        <v>1645.736191</v>
      </c>
      <c r="F12" s="29">
        <v>2135.7651810000002</v>
      </c>
      <c r="G12" s="29">
        <v>1981.469949</v>
      </c>
      <c r="H12" s="29">
        <v>1724.735406</v>
      </c>
      <c r="I12" s="29">
        <v>1646.500198</v>
      </c>
      <c r="J12" s="29">
        <v>1981.7287289999999</v>
      </c>
      <c r="K12" s="29">
        <v>2252.2971779999998</v>
      </c>
      <c r="L12" s="29">
        <v>2301.3036529999999</v>
      </c>
    </row>
    <row r="13" spans="2:13" x14ac:dyDescent="0.2">
      <c r="B13" s="100" t="s">
        <v>152</v>
      </c>
      <c r="C13" s="101">
        <v>1195.526089</v>
      </c>
      <c r="D13" s="101">
        <v>1397.5823929999999</v>
      </c>
      <c r="E13" s="101">
        <v>1645.736191</v>
      </c>
      <c r="F13" s="101">
        <v>2135.7651810000002</v>
      </c>
      <c r="G13" s="101">
        <v>1981.469949</v>
      </c>
      <c r="H13" s="101">
        <v>1724.735406</v>
      </c>
      <c r="I13" s="101">
        <v>1646.500198</v>
      </c>
      <c r="J13" s="101">
        <v>1981.7287289999999</v>
      </c>
      <c r="K13" s="101">
        <v>2252.2971779999998</v>
      </c>
      <c r="L13" s="101">
        <v>2301.3036529999999</v>
      </c>
    </row>
    <row r="14" spans="2:13" x14ac:dyDescent="0.2">
      <c r="B14" s="36" t="s">
        <v>153</v>
      </c>
      <c r="C14" s="28">
        <v>1195.526089</v>
      </c>
      <c r="D14" s="28">
        <v>1397.5823929999999</v>
      </c>
      <c r="E14" s="28">
        <v>1645.736191</v>
      </c>
      <c r="F14" s="28">
        <v>2135.7651810000002</v>
      </c>
      <c r="G14" s="28">
        <v>1981.469949</v>
      </c>
      <c r="H14" s="28">
        <v>1724.735406</v>
      </c>
      <c r="I14" s="28">
        <v>1646.500198</v>
      </c>
      <c r="J14" s="28">
        <v>1981.7287289999999</v>
      </c>
      <c r="K14" s="28">
        <v>2252.2971779999998</v>
      </c>
      <c r="L14" s="28">
        <v>2301.3036529999999</v>
      </c>
    </row>
    <row r="15" spans="2:13" x14ac:dyDescent="0.2">
      <c r="B15" s="102" t="s">
        <v>154</v>
      </c>
      <c r="C15" s="101">
        <v>92.147655999999998</v>
      </c>
      <c r="D15" s="101">
        <v>55.842618000000002</v>
      </c>
      <c r="E15" s="101">
        <v>48.967356000000002</v>
      </c>
      <c r="F15" s="101">
        <v>44.701045000000001</v>
      </c>
      <c r="G15" s="101">
        <v>44.721603999999999</v>
      </c>
      <c r="H15" s="101">
        <v>41.763719999999999</v>
      </c>
      <c r="I15" s="101">
        <v>48.892015999999998</v>
      </c>
      <c r="J15" s="101">
        <v>48.723354</v>
      </c>
      <c r="K15" s="101">
        <v>47.797947000000001</v>
      </c>
      <c r="L15" s="101">
        <v>54.080153000000003</v>
      </c>
    </row>
    <row r="16" spans="2:13" x14ac:dyDescent="0.2">
      <c r="B16" s="32" t="s">
        <v>155</v>
      </c>
      <c r="C16" s="28">
        <v>92.147655999999998</v>
      </c>
      <c r="D16" s="28">
        <v>55.842618000000002</v>
      </c>
      <c r="E16" s="28">
        <v>48.967356000000002</v>
      </c>
      <c r="F16" s="28">
        <v>44.701045000000001</v>
      </c>
      <c r="G16" s="28">
        <v>44.721603999999999</v>
      </c>
      <c r="H16" s="28">
        <v>41.763719999999999</v>
      </c>
      <c r="I16" s="28">
        <v>48.892015999999998</v>
      </c>
      <c r="J16" s="28">
        <v>48.723354</v>
      </c>
      <c r="K16" s="25"/>
      <c r="L16" s="25"/>
    </row>
    <row r="17" spans="2:12" x14ac:dyDescent="0.2">
      <c r="B17" s="102" t="s">
        <v>156</v>
      </c>
      <c r="C17" s="101">
        <v>514.31464200000005</v>
      </c>
      <c r="D17" s="101">
        <v>1983.5980480000001</v>
      </c>
      <c r="E17" s="101">
        <v>689.873424</v>
      </c>
      <c r="F17" s="101">
        <v>607.61928899999998</v>
      </c>
      <c r="G17" s="101">
        <v>342.98441300000002</v>
      </c>
      <c r="H17" s="101">
        <v>517.10187699999994</v>
      </c>
      <c r="I17" s="101">
        <v>449.613091</v>
      </c>
      <c r="J17" s="101">
        <v>630.96743600000002</v>
      </c>
      <c r="K17" s="101">
        <v>784.230324</v>
      </c>
      <c r="L17" s="101">
        <v>1037.180077</v>
      </c>
    </row>
    <row r="18" spans="2:12" x14ac:dyDescent="0.2">
      <c r="B18" s="32" t="s">
        <v>157</v>
      </c>
      <c r="C18" s="28">
        <v>514.31464200000005</v>
      </c>
      <c r="D18" s="28">
        <v>1983.5980480000001</v>
      </c>
      <c r="E18" s="28">
        <v>689.873424</v>
      </c>
      <c r="F18" s="28">
        <v>607.61928899999998</v>
      </c>
      <c r="G18" s="28">
        <v>342.98441300000002</v>
      </c>
      <c r="H18" s="28">
        <v>517.10187699999994</v>
      </c>
      <c r="I18" s="28">
        <v>449.613091</v>
      </c>
      <c r="J18" s="28">
        <v>630.96743600000002</v>
      </c>
      <c r="K18" s="28">
        <v>784.230324</v>
      </c>
      <c r="L18" s="28">
        <v>1037.180077</v>
      </c>
    </row>
    <row r="19" spans="2:12" x14ac:dyDescent="0.2">
      <c r="B19" s="103" t="s">
        <v>158</v>
      </c>
      <c r="C19" s="99">
        <v>8876.9215929999991</v>
      </c>
      <c r="D19" s="99">
        <v>4596.9187929999998</v>
      </c>
      <c r="E19" s="99">
        <v>4436.3757919999998</v>
      </c>
      <c r="F19" s="99">
        <v>3545.6413819999998</v>
      </c>
      <c r="G19" s="99">
        <v>3169.6214070000001</v>
      </c>
      <c r="H19" s="99">
        <v>5102.5295390000001</v>
      </c>
      <c r="I19" s="99">
        <v>6286.0535479999999</v>
      </c>
      <c r="J19" s="99">
        <v>5082.4080249999997</v>
      </c>
      <c r="K19" s="99">
        <v>7229.8015210000003</v>
      </c>
      <c r="L19" s="99">
        <v>4440.3668470000002</v>
      </c>
    </row>
    <row r="20" spans="2:12" x14ac:dyDescent="0.2">
      <c r="B20" s="43" t="s">
        <v>159</v>
      </c>
      <c r="C20" s="29">
        <v>21281.045589000001</v>
      </c>
      <c r="D20" s="29">
        <v>20154.160155000001</v>
      </c>
      <c r="E20" s="29">
        <v>18694.453874999999</v>
      </c>
      <c r="F20" s="29">
        <v>19982.241782000001</v>
      </c>
      <c r="G20" s="29">
        <v>33337.372211000002</v>
      </c>
      <c r="H20" s="29">
        <v>31699.481103999999</v>
      </c>
      <c r="I20" s="29">
        <v>33655.118279000002</v>
      </c>
      <c r="J20" s="29">
        <v>34049.472725</v>
      </c>
      <c r="K20" s="29">
        <v>34782.058754999998</v>
      </c>
      <c r="L20" s="29">
        <v>37309.511259999999</v>
      </c>
    </row>
    <row r="21" spans="2:12" x14ac:dyDescent="0.2">
      <c r="B21" s="100" t="s">
        <v>160</v>
      </c>
      <c r="C21" s="101">
        <v>34697.965306999999</v>
      </c>
      <c r="D21" s="101">
        <v>32655.511435</v>
      </c>
      <c r="E21" s="101">
        <v>30501.665846</v>
      </c>
      <c r="F21" s="101">
        <v>32536.062196999999</v>
      </c>
      <c r="G21" s="101">
        <v>46603.207509</v>
      </c>
      <c r="H21" s="101">
        <v>45199.787625999998</v>
      </c>
      <c r="I21" s="101">
        <v>48776.469166000003</v>
      </c>
      <c r="J21" s="101">
        <v>50225.626285999999</v>
      </c>
      <c r="K21" s="101">
        <v>51676.460226000003</v>
      </c>
      <c r="L21" s="101">
        <v>55544.179987000003</v>
      </c>
    </row>
    <row r="22" spans="2:12" x14ac:dyDescent="0.2">
      <c r="B22" s="36" t="s">
        <v>161</v>
      </c>
      <c r="C22" s="28">
        <v>24767.191194999999</v>
      </c>
      <c r="D22" s="28">
        <v>23898.649444999999</v>
      </c>
      <c r="E22" s="28">
        <v>22723.268037000002</v>
      </c>
      <c r="F22" s="28">
        <v>24704.544128000001</v>
      </c>
      <c r="G22" s="28">
        <v>26378.263021999999</v>
      </c>
      <c r="H22" s="28">
        <v>25812.921487</v>
      </c>
      <c r="I22" s="28">
        <v>28094.706668999999</v>
      </c>
      <c r="J22" s="28">
        <v>29445.959051000002</v>
      </c>
      <c r="K22" s="28">
        <v>30219.165388000001</v>
      </c>
      <c r="L22" s="28">
        <v>32741.669765999999</v>
      </c>
    </row>
    <row r="23" spans="2:12" x14ac:dyDescent="0.2">
      <c r="B23" s="104" t="s">
        <v>162</v>
      </c>
      <c r="C23" s="99">
        <v>5139.0039189999998</v>
      </c>
      <c r="D23" s="99">
        <v>5181.3226910000003</v>
      </c>
      <c r="E23" s="99">
        <v>4715.3564740000002</v>
      </c>
      <c r="F23" s="99">
        <v>4829.9872509999996</v>
      </c>
      <c r="G23" s="99">
        <v>5368.7305560000004</v>
      </c>
      <c r="H23" s="99">
        <v>5189.0809669999999</v>
      </c>
      <c r="I23" s="99">
        <v>5704.8892770000002</v>
      </c>
      <c r="J23" s="99">
        <v>6264.9800489999998</v>
      </c>
      <c r="K23" s="99">
        <v>6410.4469490000001</v>
      </c>
      <c r="L23" s="99">
        <v>7004.3455290000002</v>
      </c>
    </row>
    <row r="24" spans="2:12" x14ac:dyDescent="0.2">
      <c r="B24" s="36" t="s">
        <v>163</v>
      </c>
      <c r="C24" s="28">
        <v>4288.410167</v>
      </c>
      <c r="D24" s="28">
        <v>3101.1140700000001</v>
      </c>
      <c r="E24" s="28">
        <v>2636.3258080000001</v>
      </c>
      <c r="F24" s="28">
        <v>2574.1153479999998</v>
      </c>
      <c r="G24" s="28">
        <v>2667.7060350000002</v>
      </c>
      <c r="H24" s="28">
        <v>2549.1398049999998</v>
      </c>
      <c r="I24" s="28">
        <v>2666.1977139999999</v>
      </c>
      <c r="J24" s="28">
        <v>2341.1571650000001</v>
      </c>
      <c r="K24" s="28">
        <v>2437.6047480000002</v>
      </c>
      <c r="L24" s="28">
        <v>2497.344208</v>
      </c>
    </row>
    <row r="25" spans="2:12" x14ac:dyDescent="0.2">
      <c r="B25" s="104" t="s">
        <v>164</v>
      </c>
      <c r="C25" s="99">
        <v>503.360026</v>
      </c>
      <c r="D25" s="99">
        <v>474.425229</v>
      </c>
      <c r="E25" s="99">
        <v>426.71552700000001</v>
      </c>
      <c r="F25" s="99">
        <v>427.41546899999997</v>
      </c>
      <c r="G25" s="99">
        <v>374.52116100000001</v>
      </c>
      <c r="H25" s="99">
        <v>347.34992499999998</v>
      </c>
      <c r="I25" s="99">
        <v>393.68625200000002</v>
      </c>
      <c r="J25" s="99">
        <v>399.625202</v>
      </c>
      <c r="K25" s="99">
        <v>375.141459</v>
      </c>
      <c r="L25" s="99">
        <v>419.12118600000002</v>
      </c>
    </row>
    <row r="26" spans="2:12" x14ac:dyDescent="0.2">
      <c r="B26" s="36" t="s">
        <v>165</v>
      </c>
      <c r="C26" s="25"/>
      <c r="D26" s="25"/>
      <c r="E26" s="25"/>
      <c r="F26" s="25"/>
      <c r="G26" s="28">
        <v>11813.986734</v>
      </c>
      <c r="H26" s="28">
        <v>11301.295441</v>
      </c>
      <c r="I26" s="28">
        <v>11916.989254</v>
      </c>
      <c r="J26" s="28">
        <v>11773.90482</v>
      </c>
      <c r="K26" s="28">
        <v>12234.101682</v>
      </c>
      <c r="L26" s="28">
        <v>12881.699298</v>
      </c>
    </row>
    <row r="27" spans="2:12" x14ac:dyDescent="0.2">
      <c r="B27" s="98" t="s">
        <v>166</v>
      </c>
      <c r="C27" s="99">
        <v>13416.919717000001</v>
      </c>
      <c r="D27" s="99">
        <v>12501.351280000001</v>
      </c>
      <c r="E27" s="99">
        <v>11807.211971000001</v>
      </c>
      <c r="F27" s="99">
        <v>12553.820415</v>
      </c>
      <c r="G27" s="99">
        <v>13265.835298</v>
      </c>
      <c r="H27" s="99">
        <v>13500.306522000001</v>
      </c>
      <c r="I27" s="99">
        <v>15121.350886</v>
      </c>
      <c r="J27" s="99">
        <v>16176.153562</v>
      </c>
      <c r="K27" s="99">
        <v>16894.401471000001</v>
      </c>
      <c r="L27" s="99">
        <v>18234.668727</v>
      </c>
    </row>
    <row r="28" spans="2:12" x14ac:dyDescent="0.2">
      <c r="B28" s="43" t="s">
        <v>167</v>
      </c>
      <c r="C28" s="29">
        <v>863.94181400000002</v>
      </c>
      <c r="D28" s="29">
        <v>692.20195699999999</v>
      </c>
      <c r="E28" s="29">
        <v>1043.5543070000001</v>
      </c>
      <c r="F28" s="29">
        <v>1055.5045130000001</v>
      </c>
      <c r="G28" s="29">
        <v>1310.467717</v>
      </c>
      <c r="H28" s="29">
        <v>1089.4528250000001</v>
      </c>
      <c r="I28" s="29">
        <v>1264.5972730000001</v>
      </c>
      <c r="J28" s="29">
        <v>1024.3148209999999</v>
      </c>
      <c r="K28" s="29">
        <v>1150.7717740000001</v>
      </c>
      <c r="L28" s="29">
        <v>2655.7217989999999</v>
      </c>
    </row>
    <row r="29" spans="2:12" x14ac:dyDescent="0.2">
      <c r="B29" s="98" t="s">
        <v>168</v>
      </c>
      <c r="C29" s="99">
        <v>729.72474799999998</v>
      </c>
      <c r="D29" s="99">
        <v>688.21997099999999</v>
      </c>
      <c r="E29" s="99">
        <v>904.147244</v>
      </c>
      <c r="F29" s="99">
        <v>1052.1803649999999</v>
      </c>
      <c r="G29" s="99">
        <v>1131.670388</v>
      </c>
      <c r="H29" s="99">
        <v>1060.193702</v>
      </c>
      <c r="I29" s="99">
        <v>1056.278593</v>
      </c>
      <c r="J29" s="99">
        <v>997.42327799999998</v>
      </c>
      <c r="K29" s="99">
        <v>977.86632299999997</v>
      </c>
      <c r="L29" s="99">
        <v>2617.0931179999998</v>
      </c>
    </row>
    <row r="30" spans="2:12" x14ac:dyDescent="0.2">
      <c r="B30" s="32" t="s">
        <v>169</v>
      </c>
      <c r="C30" s="28">
        <v>134.21706599999999</v>
      </c>
      <c r="D30" s="28">
        <v>3.981986</v>
      </c>
      <c r="E30" s="28">
        <v>139.40706299999999</v>
      </c>
      <c r="F30" s="28">
        <v>3.3241480000000001</v>
      </c>
      <c r="G30" s="28">
        <v>178.79732899999999</v>
      </c>
      <c r="H30" s="28">
        <v>29.259122999999999</v>
      </c>
      <c r="I30" s="28">
        <v>208.31868</v>
      </c>
      <c r="J30" s="28">
        <v>26.891544</v>
      </c>
      <c r="K30" s="28">
        <v>172.905451</v>
      </c>
      <c r="L30" s="28">
        <v>38.628681</v>
      </c>
    </row>
    <row r="31" spans="2:12" x14ac:dyDescent="0.2">
      <c r="B31" s="102" t="s">
        <v>170</v>
      </c>
      <c r="C31" s="101">
        <v>2316.3950850000001</v>
      </c>
      <c r="D31" s="101">
        <v>2215.2169199999998</v>
      </c>
      <c r="E31" s="101">
        <v>1981.7621770000001</v>
      </c>
      <c r="F31" s="101">
        <v>2039.5398399999999</v>
      </c>
      <c r="G31" s="101">
        <v>2977.99557</v>
      </c>
      <c r="H31" s="101">
        <v>2831.3514030000001</v>
      </c>
      <c r="I31" s="101">
        <v>3145.8846709999998</v>
      </c>
      <c r="J31" s="101">
        <v>3527.4771380000002</v>
      </c>
      <c r="K31" s="101">
        <v>3509.1659089999998</v>
      </c>
      <c r="L31" s="101">
        <v>3913.085356</v>
      </c>
    </row>
    <row r="32" spans="2:12" x14ac:dyDescent="0.2">
      <c r="B32" s="32" t="s">
        <v>171</v>
      </c>
      <c r="C32" s="28">
        <v>2316.3950850000001</v>
      </c>
      <c r="D32" s="28">
        <v>2215.2169199999998</v>
      </c>
      <c r="E32" s="28">
        <v>1981.7621770000001</v>
      </c>
      <c r="F32" s="28">
        <v>2039.5398399999999</v>
      </c>
      <c r="G32" s="28">
        <v>2385.211601</v>
      </c>
      <c r="H32" s="28">
        <v>2266.4378299999998</v>
      </c>
      <c r="I32" s="28">
        <v>2446.799188</v>
      </c>
      <c r="J32" s="28">
        <v>2717.638774</v>
      </c>
      <c r="K32" s="28">
        <v>2752.3650889999999</v>
      </c>
      <c r="L32" s="28">
        <v>3037.1800210000001</v>
      </c>
    </row>
    <row r="33" spans="2:12" x14ac:dyDescent="0.2">
      <c r="B33" s="98" t="s">
        <v>172</v>
      </c>
      <c r="C33" s="99">
        <v>0</v>
      </c>
      <c r="D33" s="99">
        <v>0</v>
      </c>
      <c r="E33" s="99">
        <v>0</v>
      </c>
      <c r="F33" s="99">
        <v>0</v>
      </c>
      <c r="G33" s="99">
        <v>592.78396899999996</v>
      </c>
      <c r="H33" s="99">
        <v>564.91357300000004</v>
      </c>
      <c r="I33" s="99">
        <v>699.08548199999996</v>
      </c>
      <c r="J33" s="99">
        <v>809.83836399999996</v>
      </c>
      <c r="K33" s="99">
        <v>756.80082000000004</v>
      </c>
      <c r="L33" s="99">
        <v>875.90533500000004</v>
      </c>
    </row>
    <row r="34" spans="2:12" x14ac:dyDescent="0.2">
      <c r="B34" s="53" t="s">
        <v>173</v>
      </c>
      <c r="C34" s="28">
        <v>490.472241</v>
      </c>
      <c r="D34" s="28">
        <v>762.26595499999996</v>
      </c>
      <c r="E34" s="28">
        <v>722.76816099999996</v>
      </c>
      <c r="F34" s="28">
        <v>1066.7016430000001</v>
      </c>
      <c r="G34" s="28">
        <v>1014.6102529999999</v>
      </c>
      <c r="H34" s="28">
        <v>1745.494672</v>
      </c>
      <c r="I34" s="28">
        <v>2072.6345679999999</v>
      </c>
      <c r="J34" s="28">
        <v>2320.9182329999999</v>
      </c>
      <c r="K34" s="28">
        <v>2736.522966</v>
      </c>
      <c r="L34" s="28">
        <v>3421.535394</v>
      </c>
    </row>
    <row r="35" spans="2:12" x14ac:dyDescent="0.2">
      <c r="B35" s="102" t="s">
        <v>174</v>
      </c>
      <c r="C35" s="101">
        <v>1095.92193</v>
      </c>
      <c r="D35" s="101">
        <v>992.74712</v>
      </c>
      <c r="E35" s="101">
        <v>1272.06863</v>
      </c>
      <c r="F35" s="101">
        <v>1012.8154500000001</v>
      </c>
      <c r="G35" s="101">
        <v>515.81291999999996</v>
      </c>
      <c r="H35" s="101">
        <v>543.25527999999997</v>
      </c>
      <c r="I35" s="101">
        <v>932.64158999999995</v>
      </c>
      <c r="J35" s="101">
        <v>1252.9397899999999</v>
      </c>
      <c r="K35" s="101">
        <v>1419.36364</v>
      </c>
      <c r="L35" s="101">
        <v>1549.9758099999999</v>
      </c>
    </row>
    <row r="36" spans="2:12" x14ac:dyDescent="0.2">
      <c r="B36" s="32" t="s">
        <v>175</v>
      </c>
      <c r="C36" s="28">
        <v>1095.921928</v>
      </c>
      <c r="D36" s="28">
        <v>992.74711600000001</v>
      </c>
      <c r="E36" s="28">
        <v>1272.0686330000001</v>
      </c>
      <c r="F36" s="28">
        <v>1012.8154520000001</v>
      </c>
      <c r="G36" s="28">
        <v>515.81292199999996</v>
      </c>
      <c r="H36" s="28">
        <v>543.25528299999996</v>
      </c>
      <c r="I36" s="28">
        <v>932.64158799999996</v>
      </c>
      <c r="J36" s="28">
        <v>1252.9397899999999</v>
      </c>
      <c r="K36" s="28">
        <v>1419.363644</v>
      </c>
      <c r="L36" s="28">
        <v>1549.975813</v>
      </c>
    </row>
    <row r="37" spans="2:12" x14ac:dyDescent="0.2">
      <c r="B37" s="103" t="s">
        <v>176</v>
      </c>
      <c r="C37" s="99">
        <v>34924.698252000002</v>
      </c>
      <c r="D37" s="99">
        <v>29413.510896</v>
      </c>
      <c r="E37" s="99">
        <v>28150.982945</v>
      </c>
      <c r="F37" s="99">
        <v>28702.444613</v>
      </c>
      <c r="G37" s="99">
        <v>42325.880080000003</v>
      </c>
      <c r="H37" s="99">
        <v>43011.564826000002</v>
      </c>
      <c r="I37" s="99">
        <v>47356.929927999998</v>
      </c>
      <c r="J37" s="99">
        <v>47257.530733</v>
      </c>
      <c r="K37" s="99">
        <v>50827.684568999997</v>
      </c>
      <c r="L37" s="99">
        <v>53290.196468000002</v>
      </c>
    </row>
    <row r="38" spans="2:12" x14ac:dyDescent="0.2">
      <c r="B38" s="26" t="s">
        <v>177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2:12" x14ac:dyDescent="0.2">
      <c r="B39" s="102" t="s">
        <v>178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</row>
    <row r="40" spans="2:12" x14ac:dyDescent="0.2">
      <c r="B40" s="32" t="s">
        <v>179</v>
      </c>
      <c r="C40" s="28">
        <v>0</v>
      </c>
      <c r="D40" s="28">
        <v>73.192701</v>
      </c>
      <c r="E40" s="28">
        <v>0</v>
      </c>
      <c r="F40" s="28">
        <v>0</v>
      </c>
      <c r="G40" s="28">
        <v>605.87973799999997</v>
      </c>
      <c r="H40" s="28">
        <v>2407.012389</v>
      </c>
      <c r="I40" s="28">
        <v>620.38340600000004</v>
      </c>
      <c r="J40" s="28">
        <v>619.44248800000003</v>
      </c>
      <c r="K40" s="28">
        <v>2607.6133530000002</v>
      </c>
      <c r="L40" s="28">
        <v>614.19602299999997</v>
      </c>
    </row>
    <row r="41" spans="2:12" x14ac:dyDescent="0.2">
      <c r="B41" s="98" t="s">
        <v>180</v>
      </c>
      <c r="C41" s="99">
        <v>805.21034099999997</v>
      </c>
      <c r="D41" s="99">
        <v>716.75753999999995</v>
      </c>
      <c r="E41" s="99">
        <v>770.15323799999999</v>
      </c>
      <c r="F41" s="99">
        <v>1056.641721</v>
      </c>
      <c r="G41" s="99">
        <v>880.35635500000001</v>
      </c>
      <c r="H41" s="99">
        <v>605.85999900000002</v>
      </c>
      <c r="I41" s="99">
        <v>885.33240699999999</v>
      </c>
      <c r="J41" s="99">
        <v>918.43522499999995</v>
      </c>
      <c r="K41" s="99">
        <v>998.41581900000006</v>
      </c>
      <c r="L41" s="99">
        <v>993.72281099999998</v>
      </c>
    </row>
    <row r="42" spans="2:12" x14ac:dyDescent="0.2">
      <c r="B42" s="32" t="s">
        <v>181</v>
      </c>
      <c r="C42" s="28">
        <v>142.50207</v>
      </c>
      <c r="D42" s="28">
        <v>253.33017799999999</v>
      </c>
      <c r="E42" s="28">
        <v>221.35243399999999</v>
      </c>
      <c r="F42" s="28">
        <v>199.711321</v>
      </c>
      <c r="G42" s="28">
        <v>295.50111600000002</v>
      </c>
      <c r="H42" s="28">
        <v>605.69654000000003</v>
      </c>
      <c r="I42" s="28">
        <v>317.18255799999997</v>
      </c>
      <c r="J42" s="28">
        <v>257.57788499999998</v>
      </c>
      <c r="K42" s="28">
        <v>638.30174499999998</v>
      </c>
      <c r="L42" s="28">
        <v>348.62384300000002</v>
      </c>
    </row>
    <row r="43" spans="2:12" x14ac:dyDescent="0.2">
      <c r="B43" s="100" t="s">
        <v>182</v>
      </c>
      <c r="C43" s="101">
        <v>1768.2960370000001</v>
      </c>
      <c r="D43" s="101">
        <v>2244.9870080000001</v>
      </c>
      <c r="E43" s="101">
        <v>1415.722865</v>
      </c>
      <c r="F43" s="101">
        <v>1344.7928790000001</v>
      </c>
      <c r="G43" s="101">
        <v>1444.0980070000001</v>
      </c>
      <c r="H43" s="101">
        <v>1433.2883859999999</v>
      </c>
      <c r="I43" s="101">
        <v>1712.099917</v>
      </c>
      <c r="J43" s="101">
        <v>1767.064875</v>
      </c>
      <c r="K43" s="101">
        <v>1964.875814</v>
      </c>
      <c r="L43" s="101">
        <v>1772.090727</v>
      </c>
    </row>
    <row r="44" spans="2:12" x14ac:dyDescent="0.2">
      <c r="B44" s="36" t="s">
        <v>183</v>
      </c>
      <c r="C44" s="28">
        <v>1243.487057</v>
      </c>
      <c r="D44" s="28">
        <v>1095.4254780000001</v>
      </c>
      <c r="E44" s="28">
        <v>923.05130799999995</v>
      </c>
      <c r="F44" s="28">
        <v>859.99211500000001</v>
      </c>
      <c r="G44" s="28">
        <v>913.67484000000002</v>
      </c>
      <c r="H44" s="28">
        <v>862.89894400000003</v>
      </c>
      <c r="I44" s="28">
        <v>1181.586368</v>
      </c>
      <c r="J44" s="28">
        <v>1141.1571719999999</v>
      </c>
      <c r="K44" s="28">
        <v>1256.416099</v>
      </c>
      <c r="L44" s="28">
        <v>1083.534494</v>
      </c>
    </row>
    <row r="45" spans="2:12" x14ac:dyDescent="0.2">
      <c r="B45" s="104" t="s">
        <v>184</v>
      </c>
      <c r="C45" s="99">
        <v>524.80898100000002</v>
      </c>
      <c r="D45" s="99">
        <v>1149.5615299999999</v>
      </c>
      <c r="E45" s="99">
        <v>492.67155700000001</v>
      </c>
      <c r="F45" s="99">
        <v>484.80076300000002</v>
      </c>
      <c r="G45" s="99">
        <v>530.42316700000003</v>
      </c>
      <c r="H45" s="99">
        <v>570.38944200000003</v>
      </c>
      <c r="I45" s="99">
        <v>530.51354900000001</v>
      </c>
      <c r="J45" s="99">
        <v>625.90770299999997</v>
      </c>
      <c r="K45" s="99">
        <v>708.45971499999996</v>
      </c>
      <c r="L45" s="99">
        <v>688.55623400000002</v>
      </c>
    </row>
    <row r="46" spans="2:12" x14ac:dyDescent="0.2">
      <c r="B46" s="32" t="s">
        <v>185</v>
      </c>
      <c r="C46" s="28">
        <v>2716.008448</v>
      </c>
      <c r="D46" s="28">
        <v>3288.2674270000002</v>
      </c>
      <c r="E46" s="28">
        <v>2407.228537</v>
      </c>
      <c r="F46" s="28">
        <v>2601.1459209999998</v>
      </c>
      <c r="G46" s="28">
        <v>3225.8352159999999</v>
      </c>
      <c r="H46" s="28">
        <v>5051.8573139999999</v>
      </c>
      <c r="I46" s="28">
        <v>3534.9982879999998</v>
      </c>
      <c r="J46" s="28">
        <v>3562.5204739999999</v>
      </c>
      <c r="K46" s="28">
        <v>6209.2067310000002</v>
      </c>
      <c r="L46" s="28">
        <v>3728.633405</v>
      </c>
    </row>
    <row r="47" spans="2:12" x14ac:dyDescent="0.2">
      <c r="B47" s="102" t="s">
        <v>186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</row>
    <row r="48" spans="2:12" x14ac:dyDescent="0.2">
      <c r="B48" s="105" t="s">
        <v>187</v>
      </c>
      <c r="C48" s="29">
        <v>22205.7441</v>
      </c>
      <c r="D48" s="29">
        <v>24535.198402999999</v>
      </c>
      <c r="E48" s="29">
        <v>24597.268721</v>
      </c>
      <c r="F48" s="29">
        <v>27183.921255000001</v>
      </c>
      <c r="G48" s="29">
        <v>41760.267603</v>
      </c>
      <c r="H48" s="29">
        <v>39653.549206000003</v>
      </c>
      <c r="I48" s="29">
        <v>42774.886251000004</v>
      </c>
      <c r="J48" s="29">
        <v>45010.915614999998</v>
      </c>
      <c r="K48" s="29">
        <v>45453.855585999998</v>
      </c>
      <c r="L48" s="29">
        <v>49552.871610000002</v>
      </c>
    </row>
    <row r="49" spans="2:12" x14ac:dyDescent="0.2">
      <c r="B49" s="104" t="s">
        <v>188</v>
      </c>
      <c r="C49" s="99">
        <v>22205.7441</v>
      </c>
      <c r="D49" s="99">
        <v>24535.198402999999</v>
      </c>
      <c r="E49" s="99">
        <v>24597.268721</v>
      </c>
      <c r="F49" s="99">
        <v>27183.921255000001</v>
      </c>
      <c r="G49" s="99">
        <v>30394.744124000001</v>
      </c>
      <c r="H49" s="99">
        <v>28766.131417000001</v>
      </c>
      <c r="I49" s="99">
        <v>31324.921273</v>
      </c>
      <c r="J49" s="99">
        <v>33641.133538000002</v>
      </c>
      <c r="K49" s="99">
        <v>33633.188036</v>
      </c>
      <c r="L49" s="99">
        <v>37106.710685999999</v>
      </c>
    </row>
    <row r="50" spans="2:12" x14ac:dyDescent="0.2">
      <c r="B50" s="36" t="s">
        <v>189</v>
      </c>
      <c r="C50" s="28">
        <v>0</v>
      </c>
      <c r="D50" s="28">
        <v>0</v>
      </c>
      <c r="E50" s="28">
        <v>0</v>
      </c>
      <c r="F50" s="28">
        <v>0</v>
      </c>
      <c r="G50" s="28">
        <v>11365.523477999999</v>
      </c>
      <c r="H50" s="28">
        <v>10887.417788999999</v>
      </c>
      <c r="I50" s="28">
        <v>11449.964978</v>
      </c>
      <c r="J50" s="28">
        <v>11369.782077</v>
      </c>
      <c r="K50" s="28">
        <v>11820.66755</v>
      </c>
      <c r="L50" s="28">
        <v>12446.160922999999</v>
      </c>
    </row>
    <row r="51" spans="2:12" x14ac:dyDescent="0.2">
      <c r="B51" s="98" t="s">
        <v>190</v>
      </c>
      <c r="C51" s="99">
        <v>1568.9036060000001</v>
      </c>
      <c r="D51" s="99">
        <v>1722.7779439999999</v>
      </c>
      <c r="E51" s="99">
        <v>932.21186799999998</v>
      </c>
      <c r="F51" s="99">
        <v>1063.2900179999999</v>
      </c>
      <c r="G51" s="99">
        <v>1174.253907</v>
      </c>
      <c r="H51" s="99">
        <v>1655.5106089999999</v>
      </c>
      <c r="I51" s="99">
        <v>1825.1846880000001</v>
      </c>
      <c r="J51" s="99">
        <v>1871.632689</v>
      </c>
      <c r="K51" s="99">
        <v>1521.658492</v>
      </c>
      <c r="L51" s="99">
        <v>1848.382372</v>
      </c>
    </row>
    <row r="52" spans="2:12" x14ac:dyDescent="0.2">
      <c r="B52" s="105" t="s">
        <v>191</v>
      </c>
      <c r="C52" s="29">
        <v>1909.23316</v>
      </c>
      <c r="D52" s="29">
        <v>1957.1462799999999</v>
      </c>
      <c r="E52" s="29">
        <v>2935.7928299999999</v>
      </c>
      <c r="F52" s="29">
        <v>3328.7844500000001</v>
      </c>
      <c r="G52" s="29">
        <v>3479.8218499999998</v>
      </c>
      <c r="H52" s="29">
        <v>3045.8910599999999</v>
      </c>
      <c r="I52" s="29">
        <v>3267.7629700000002</v>
      </c>
      <c r="J52" s="29">
        <v>2437.5731900000001</v>
      </c>
      <c r="K52" s="29">
        <v>1903.7704799999999</v>
      </c>
      <c r="L52" s="29">
        <v>1827.1366</v>
      </c>
    </row>
    <row r="53" spans="2:12" x14ac:dyDescent="0.2">
      <c r="B53" s="104" t="s">
        <v>192</v>
      </c>
      <c r="C53" s="99">
        <v>1909.233162</v>
      </c>
      <c r="D53" s="99">
        <v>1957.1462819999999</v>
      </c>
      <c r="E53" s="99">
        <v>2935.792833</v>
      </c>
      <c r="F53" s="99">
        <v>2779.6001900000001</v>
      </c>
      <c r="G53" s="99">
        <v>2891.3140549999998</v>
      </c>
      <c r="H53" s="99">
        <v>2472.1507160000001</v>
      </c>
      <c r="I53" s="99">
        <v>2618.5367919999999</v>
      </c>
      <c r="J53" s="99">
        <v>1727.523999</v>
      </c>
      <c r="K53" s="99">
        <v>1188.5212879999999</v>
      </c>
      <c r="L53" s="99">
        <v>1075.8087579999999</v>
      </c>
    </row>
    <row r="54" spans="2:12" x14ac:dyDescent="0.2">
      <c r="B54" s="36" t="s">
        <v>193</v>
      </c>
      <c r="C54" s="25"/>
      <c r="D54" s="25"/>
      <c r="E54" s="25"/>
      <c r="F54" s="28">
        <v>549.18426399999998</v>
      </c>
      <c r="G54" s="28">
        <v>588.50779999999997</v>
      </c>
      <c r="H54" s="28">
        <v>573.74034700000004</v>
      </c>
      <c r="I54" s="28">
        <v>649.226178</v>
      </c>
      <c r="J54" s="28">
        <v>710.04918699999996</v>
      </c>
      <c r="K54" s="28">
        <v>715.24919599999998</v>
      </c>
      <c r="L54" s="28">
        <v>751.32784000000004</v>
      </c>
    </row>
    <row r="55" spans="2:12" x14ac:dyDescent="0.2">
      <c r="B55" s="98" t="s">
        <v>194</v>
      </c>
      <c r="C55" s="99">
        <v>28399.889317000001</v>
      </c>
      <c r="D55" s="99">
        <v>31503.390056</v>
      </c>
      <c r="E55" s="99">
        <v>30872.501959000001</v>
      </c>
      <c r="F55" s="99">
        <v>34177.141647999997</v>
      </c>
      <c r="G55" s="99">
        <v>49640.178581</v>
      </c>
      <c r="H55" s="99">
        <v>49406.808191999997</v>
      </c>
      <c r="I55" s="99">
        <v>51402.832197000003</v>
      </c>
      <c r="J55" s="99">
        <v>52882.641964000002</v>
      </c>
      <c r="K55" s="99">
        <v>55088.491292999999</v>
      </c>
      <c r="L55" s="99">
        <v>56957.023983999999</v>
      </c>
    </row>
    <row r="56" spans="2:12" x14ac:dyDescent="0.2">
      <c r="B56" s="43" t="s">
        <v>195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2:12" x14ac:dyDescent="0.2">
      <c r="B57" s="100" t="s">
        <v>196</v>
      </c>
      <c r="C57" s="101">
        <v>6524.808935</v>
      </c>
      <c r="D57" s="101">
        <v>-2089.87916</v>
      </c>
      <c r="E57" s="101">
        <v>-2721.5190130000001</v>
      </c>
      <c r="F57" s="101">
        <v>-5474.6970350000001</v>
      </c>
      <c r="G57" s="101">
        <v>-7314.2985010000002</v>
      </c>
      <c r="H57" s="101">
        <v>-6395.243367</v>
      </c>
      <c r="I57" s="101">
        <v>-4045.90227</v>
      </c>
      <c r="J57" s="101">
        <v>-5625.1112309999999</v>
      </c>
      <c r="K57" s="101">
        <v>-4260.806724</v>
      </c>
      <c r="L57" s="101">
        <v>-3666.8275159999998</v>
      </c>
    </row>
    <row r="58" spans="2:12" x14ac:dyDescent="0.2">
      <c r="B58" s="36" t="s">
        <v>197</v>
      </c>
      <c r="C58" s="28">
        <v>15.281230000000001</v>
      </c>
      <c r="D58" s="28">
        <v>15.738327</v>
      </c>
      <c r="E58" s="28">
        <v>13.824116999999999</v>
      </c>
      <c r="F58" s="28">
        <v>14.521279</v>
      </c>
      <c r="G58" s="28">
        <v>14.788418999999999</v>
      </c>
      <c r="H58" s="28">
        <v>13.567079</v>
      </c>
      <c r="I58" s="28">
        <v>14.597257000000001</v>
      </c>
      <c r="J58" s="28">
        <v>15.553993999999999</v>
      </c>
      <c r="K58" s="28">
        <v>15.027385000000001</v>
      </c>
      <c r="L58" s="28">
        <v>16.417189</v>
      </c>
    </row>
    <row r="59" spans="2:12" x14ac:dyDescent="0.2">
      <c r="B59" s="104" t="s">
        <v>198</v>
      </c>
      <c r="C59" s="99">
        <v>6014.3606280000004</v>
      </c>
      <c r="D59" s="99">
        <v>6407.1108169999998</v>
      </c>
      <c r="E59" s="99">
        <v>5889.740229</v>
      </c>
      <c r="F59" s="99">
        <v>6452.3464990000002</v>
      </c>
      <c r="G59" s="99">
        <v>6818.6192099999998</v>
      </c>
      <c r="H59" s="99">
        <v>6459.5644000000002</v>
      </c>
      <c r="I59" s="99">
        <v>7238.4805740000002</v>
      </c>
      <c r="J59" s="99">
        <v>8008.526535</v>
      </c>
      <c r="K59" s="99">
        <v>8050.4234630000001</v>
      </c>
      <c r="L59" s="99">
        <v>8962.819641</v>
      </c>
    </row>
    <row r="60" spans="2:12" x14ac:dyDescent="0.2">
      <c r="B60" s="36" t="s">
        <v>199</v>
      </c>
      <c r="C60" s="28">
        <v>41051.734935</v>
      </c>
      <c r="D60" s="28">
        <v>43823.371338999998</v>
      </c>
      <c r="E60" s="28">
        <v>40244.670601999998</v>
      </c>
      <c r="F60" s="28">
        <v>44164.807174000001</v>
      </c>
      <c r="G60" s="28">
        <v>47154.120653999998</v>
      </c>
      <c r="H60" s="28">
        <v>44058.763552999997</v>
      </c>
      <c r="I60" s="28">
        <v>50593.300002000004</v>
      </c>
      <c r="J60" s="28">
        <v>55791.894697000003</v>
      </c>
      <c r="K60" s="28">
        <v>57466.077028</v>
      </c>
      <c r="L60" s="28">
        <v>64542.731158000002</v>
      </c>
    </row>
    <row r="61" spans="2:12" x14ac:dyDescent="0.2">
      <c r="B61" s="104" t="s">
        <v>200</v>
      </c>
      <c r="C61" s="106">
        <v>-2513.0258480000002</v>
      </c>
      <c r="D61" s="106">
        <v>-2757.7151530000001</v>
      </c>
      <c r="E61" s="106">
        <v>-1641.9886899999999</v>
      </c>
      <c r="F61" s="106">
        <v>-2121.593813</v>
      </c>
      <c r="G61" s="106">
        <v>-2005.3452279999999</v>
      </c>
      <c r="H61" s="106">
        <v>-1788.157416</v>
      </c>
      <c r="I61" s="106">
        <v>-2083.5385430000001</v>
      </c>
      <c r="J61" s="106">
        <v>-2079.2691359999999</v>
      </c>
      <c r="K61" s="106">
        <v>-1885.6652019999999</v>
      </c>
      <c r="L61" s="106">
        <v>-2200.869083</v>
      </c>
    </row>
    <row r="62" spans="2:12" x14ac:dyDescent="0.2">
      <c r="B62" s="36" t="s">
        <v>201</v>
      </c>
      <c r="C62" s="45">
        <v>-137.99134599999999</v>
      </c>
      <c r="D62" s="45">
        <v>-174.638543</v>
      </c>
      <c r="E62" s="45">
        <v>-172.135245</v>
      </c>
      <c r="F62" s="45">
        <v>-161.13370699999999</v>
      </c>
      <c r="G62" s="45">
        <v>-206.41425599999999</v>
      </c>
      <c r="H62" s="45">
        <v>-326.018553</v>
      </c>
      <c r="I62" s="45">
        <v>-179.651779</v>
      </c>
      <c r="J62" s="45">
        <v>-250.64417700000001</v>
      </c>
      <c r="K62" s="45">
        <v>-337.663524</v>
      </c>
      <c r="L62" s="45">
        <v>-264.60646300000002</v>
      </c>
    </row>
    <row r="63" spans="2:12" x14ac:dyDescent="0.2">
      <c r="B63" s="104" t="s">
        <v>202</v>
      </c>
      <c r="C63" s="106">
        <v>-37905.550664000002</v>
      </c>
      <c r="D63" s="106">
        <v>-49403.745947000003</v>
      </c>
      <c r="E63" s="106">
        <v>-47055.630026999999</v>
      </c>
      <c r="F63" s="106">
        <v>-53823.644466999998</v>
      </c>
      <c r="G63" s="106">
        <v>-59090.067299000002</v>
      </c>
      <c r="H63" s="106">
        <v>-54812.96243</v>
      </c>
      <c r="I63" s="106">
        <v>-59629.089781000002</v>
      </c>
      <c r="J63" s="106">
        <v>-67111.173144</v>
      </c>
      <c r="K63" s="106">
        <v>-67569.005873999995</v>
      </c>
      <c r="L63" s="106">
        <v>-74722.354240999994</v>
      </c>
    </row>
    <row r="64" spans="2:12" x14ac:dyDescent="0.2">
      <c r="B64" s="32" t="s">
        <v>203</v>
      </c>
      <c r="C64" s="28">
        <v>6524.808935</v>
      </c>
      <c r="D64" s="45">
        <v>-2089.87916</v>
      </c>
      <c r="E64" s="45">
        <v>-2721.5190130000001</v>
      </c>
      <c r="F64" s="45">
        <v>-5474.6970350000001</v>
      </c>
      <c r="G64" s="45">
        <v>-7314.2985010000002</v>
      </c>
      <c r="H64" s="45">
        <v>-6395.243367</v>
      </c>
      <c r="I64" s="45">
        <v>-4045.90227</v>
      </c>
      <c r="J64" s="45">
        <v>-5625.1112309999999</v>
      </c>
      <c r="K64" s="45">
        <v>-4260.806724</v>
      </c>
      <c r="L64" s="45">
        <v>-3666.8275159999998</v>
      </c>
    </row>
    <row r="65" spans="2:12" x14ac:dyDescent="0.2">
      <c r="B65" s="98" t="s">
        <v>204</v>
      </c>
      <c r="C65" s="99">
        <v>6524.808935</v>
      </c>
      <c r="D65" s="106">
        <v>-2089.87916</v>
      </c>
      <c r="E65" s="106">
        <v>-2721.5190130000001</v>
      </c>
      <c r="F65" s="106">
        <v>-5474.6970350000001</v>
      </c>
      <c r="G65" s="106">
        <v>-7314.2985010000002</v>
      </c>
      <c r="H65" s="106">
        <v>-6395.243367</v>
      </c>
      <c r="I65" s="106">
        <v>-4045.90227</v>
      </c>
      <c r="J65" s="106">
        <v>-5625.1112309999999</v>
      </c>
      <c r="K65" s="106">
        <v>-4260.806724</v>
      </c>
      <c r="L65" s="106">
        <v>-3666.8275159999998</v>
      </c>
    </row>
    <row r="66" spans="2:12" x14ac:dyDescent="0.2">
      <c r="B66" s="53" t="s">
        <v>205</v>
      </c>
      <c r="C66" s="28">
        <v>34924.698252000002</v>
      </c>
      <c r="D66" s="28">
        <v>29413.510896</v>
      </c>
      <c r="E66" s="28">
        <v>28150.982945</v>
      </c>
      <c r="F66" s="28">
        <v>28702.444613</v>
      </c>
      <c r="G66" s="28">
        <v>42325.880080000003</v>
      </c>
      <c r="H66" s="28">
        <v>43011.564826000002</v>
      </c>
      <c r="I66" s="28">
        <v>47356.929927999998</v>
      </c>
      <c r="J66" s="28">
        <v>47257.530733</v>
      </c>
      <c r="K66" s="28">
        <v>50827.684568999997</v>
      </c>
      <c r="L66" s="28">
        <v>53290.196468000002</v>
      </c>
    </row>
    <row r="67" spans="2:12" x14ac:dyDescent="0.2">
      <c r="B67" s="97" t="s">
        <v>76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</row>
    <row r="68" spans="2:12" x14ac:dyDescent="0.2">
      <c r="B68" s="53" t="s">
        <v>206</v>
      </c>
      <c r="C68" s="49">
        <v>7.1954200000000004</v>
      </c>
      <c r="D68" s="107">
        <v>-2.5508099999999998</v>
      </c>
      <c r="E68" s="107">
        <v>-3.4271699999999998</v>
      </c>
      <c r="F68" s="107">
        <v>-7.1368799999999997</v>
      </c>
      <c r="G68" s="107">
        <v>-9.8007500000000007</v>
      </c>
      <c r="H68" s="107">
        <v>-8.5796100000000006</v>
      </c>
      <c r="I68" s="107">
        <v>-5.4278300000000002</v>
      </c>
      <c r="J68" s="107">
        <v>-7.5525099999999998</v>
      </c>
      <c r="K68" s="107">
        <v>-5.8263499999999997</v>
      </c>
      <c r="L68" s="107">
        <v>-5.1269999999999998</v>
      </c>
    </row>
    <row r="69" spans="2:12" x14ac:dyDescent="0.2">
      <c r="B69" s="103" t="s">
        <v>207</v>
      </c>
      <c r="C69" s="108">
        <v>4.6409500000000001</v>
      </c>
      <c r="D69" s="109">
        <v>-5.2546030000000004</v>
      </c>
      <c r="E69" s="109">
        <v>-5.9227819999999998</v>
      </c>
      <c r="F69" s="109">
        <v>-9.7956420000000008</v>
      </c>
      <c r="G69" s="109">
        <v>-13.791095</v>
      </c>
      <c r="H69" s="109">
        <v>-12.378045</v>
      </c>
      <c r="I69" s="109">
        <v>-9.6482250000000001</v>
      </c>
      <c r="J69" s="109">
        <v>-12.288652000000001</v>
      </c>
      <c r="K69" s="109">
        <v>-10.624877</v>
      </c>
      <c r="L69" s="109">
        <v>-10.598312</v>
      </c>
    </row>
    <row r="70" spans="2:12" x14ac:dyDescent="0.2">
      <c r="B70" s="5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Agenda</vt:lpstr>
      <vt:lpstr>DCF model</vt:lpstr>
      <vt:lpstr>INPUT&gt;&gt;</vt:lpstr>
      <vt:lpstr>WACC</vt:lpstr>
      <vt:lpstr>Estimates IS</vt:lpstr>
      <vt:lpstr>IS</vt:lpstr>
      <vt:lpstr>BS</vt:lpstr>
      <vt:lpstr>D</vt:lpstr>
      <vt:lpstr>D_perc</vt:lpstr>
      <vt:lpstr>E</vt:lpstr>
      <vt:lpstr>E_perc</vt:lpstr>
      <vt:lpstr>kd</vt:lpstr>
      <vt:lpstr>ke</vt:lpstr>
      <vt:lpstr>'DCF model'!Print_Area</vt:lpstr>
      <vt:lpstr>scen</vt:lpstr>
      <vt:lpstr>Tax_shield</vt:lpstr>
      <vt:lpstr>Tax_shielf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Manfredi</dc:creator>
  <cp:lastModifiedBy>Pietro Manfredi</cp:lastModifiedBy>
  <dcterms:created xsi:type="dcterms:W3CDTF">2025-11-26T02:28:25Z</dcterms:created>
  <dcterms:modified xsi:type="dcterms:W3CDTF">2025-11-27T04:54:01Z</dcterms:modified>
</cp:coreProperties>
</file>