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tromanfredi/Desktop/"/>
    </mc:Choice>
  </mc:AlternateContent>
  <xr:revisionPtr revIDLastSave="0" documentId="13_ncr:1_{692DB69D-39EA-F445-B610-7C966FC9026F}" xr6:coauthVersionLast="47" xr6:coauthVersionMax="47" xr10:uidLastSave="{00000000-0000-0000-0000-000000000000}"/>
  <bookViews>
    <workbookView xWindow="0" yWindow="740" windowWidth="29400" windowHeight="16900" activeTab="1" xr2:uid="{2AE60359-9C91-C747-B9BC-22BA7C93C4A8}"/>
  </bookViews>
  <sheets>
    <sheet name="Agenda" sheetId="1" r:id="rId1"/>
    <sheet name="Summary" sheetId="10" r:id="rId2"/>
    <sheet name="Comps" sheetId="8" r:id="rId3"/>
    <sheet name="52 week share price" sheetId="9" r:id="rId4"/>
    <sheet name="DCF model" sheetId="2" r:id="rId5"/>
    <sheet name="INPUT&gt;&gt;" sheetId="3" r:id="rId6"/>
    <sheet name="WACC" sheetId="7" r:id="rId7"/>
    <sheet name="Estimates IS" sheetId="5" r:id="rId8"/>
    <sheet name="IS" sheetId="4" r:id="rId9"/>
    <sheet name="BS" sheetId="6" r:id="rId10"/>
  </sheets>
  <definedNames>
    <definedName name="D">WACC!$D$15</definedName>
    <definedName name="D_perc">WACC!$D$17</definedName>
    <definedName name="E">WACC!$D$14</definedName>
    <definedName name="E_perc">WACC!$D$16</definedName>
    <definedName name="kd">WACC!$D$19</definedName>
    <definedName name="ke">WACC!$D$12</definedName>
    <definedName name="_xlnm.Print_Area" localSheetId="3">'52 week share price'!$B$2:$R$13</definedName>
    <definedName name="_xlnm.Print_Area" localSheetId="2">Comps!$B$2:$R$36</definedName>
    <definedName name="_xlnm.Print_Area" localSheetId="4">'DCF model'!$B$2:$S$152</definedName>
    <definedName name="scen" localSheetId="3">'52 week share price'!#REF!</definedName>
    <definedName name="scen" localSheetId="2">Comps!#REF!</definedName>
    <definedName name="scen">'DCF model'!$E$16</definedName>
    <definedName name="Tax_shield">WACC!$D$18</definedName>
    <definedName name="Tax_shielf">WACC!$D$18</definedName>
    <definedName name="Tgr" localSheetId="3">'52 week share price'!#REF!</definedName>
    <definedName name="Tgr" localSheetId="2">Comps!#REF!</definedName>
    <definedName name="Tgr">'DCF model'!$E$18</definedName>
    <definedName name="wacc" localSheetId="3">'52 week share price'!#REF!</definedName>
    <definedName name="wacc" localSheetId="2">Comps!#REF!</definedName>
    <definedName name="wacc">'DCF model'!$E$17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0" l="1"/>
  <c r="F17" i="10"/>
  <c r="D17" i="10"/>
  <c r="C17" i="10" a="1"/>
  <c r="C17" i="10" s="1"/>
  <c r="G103" i="2"/>
  <c r="H103" i="2" s="1"/>
  <c r="I103" i="2" s="1"/>
  <c r="J103" i="2" s="1"/>
  <c r="K103" i="2" s="1"/>
  <c r="L103" i="2" s="1"/>
  <c r="E105" i="2"/>
  <c r="E106" i="2" s="1"/>
  <c r="E107" i="2" s="1"/>
  <c r="E108" i="2" s="1"/>
  <c r="D34" i="8"/>
  <c r="E34" i="8"/>
  <c r="F34" i="8"/>
  <c r="D35" i="8"/>
  <c r="E35" i="8"/>
  <c r="F35" i="8"/>
  <c r="E33" i="8"/>
  <c r="F33" i="8"/>
  <c r="D33" i="8"/>
  <c r="F32" i="8"/>
  <c r="E32" i="8"/>
  <c r="D32" i="8"/>
  <c r="N23" i="8" a="1"/>
  <c r="N23" i="8" s="1"/>
  <c r="J32" i="8" s="1"/>
  <c r="Q23" i="8" a="1"/>
  <c r="Q23" i="8" s="1"/>
  <c r="M32" i="8" s="1"/>
  <c r="Q32" i="8" s="1"/>
  <c r="Q24" i="8" a="1"/>
  <c r="Q24" i="8" s="1"/>
  <c r="M33" i="8" s="1"/>
  <c r="Q33" i="8" s="1"/>
  <c r="P23" i="8" a="1"/>
  <c r="P23" i="8" s="1"/>
  <c r="L32" i="8" s="1"/>
  <c r="P32" i="8" s="1"/>
  <c r="O23" i="8" a="1"/>
  <c r="O23" i="8" s="1"/>
  <c r="K32" i="8" s="1"/>
  <c r="M26" i="8" a="1"/>
  <c r="M26" i="8" s="1"/>
  <c r="L26" i="8" a="1"/>
  <c r="L26" i="8" s="1"/>
  <c r="K26" i="8" a="1"/>
  <c r="K26" i="8" s="1"/>
  <c r="J26" i="8" a="1"/>
  <c r="J26" i="8" s="1"/>
  <c r="I26" i="8" a="1"/>
  <c r="I26" i="8" s="1"/>
  <c r="H26" i="8" a="1"/>
  <c r="H26" i="8" s="1"/>
  <c r="G26" i="8" a="1"/>
  <c r="G26" i="8" s="1"/>
  <c r="F26" i="8" a="1"/>
  <c r="F26" i="8" s="1"/>
  <c r="E26" i="8" a="1"/>
  <c r="E26" i="8" s="1"/>
  <c r="D26" i="8" a="1"/>
  <c r="D26" i="8" s="1"/>
  <c r="M25" i="8" a="1"/>
  <c r="M25" i="8" s="1"/>
  <c r="L25" i="8" a="1"/>
  <c r="L25" i="8" s="1"/>
  <c r="K25" i="8" a="1"/>
  <c r="K25" i="8" s="1"/>
  <c r="J25" i="8" a="1"/>
  <c r="J25" i="8" s="1"/>
  <c r="I25" i="8" a="1"/>
  <c r="I25" i="8" s="1"/>
  <c r="H25" i="8" a="1"/>
  <c r="H25" i="8" s="1"/>
  <c r="G25" i="8" a="1"/>
  <c r="G25" i="8" s="1"/>
  <c r="F25" i="8" a="1"/>
  <c r="F25" i="8" s="1"/>
  <c r="E25" i="8" a="1"/>
  <c r="E25" i="8" s="1"/>
  <c r="D25" i="8" a="1"/>
  <c r="D25" i="8" s="1"/>
  <c r="M24" i="8" a="1"/>
  <c r="M24" i="8" s="1"/>
  <c r="L24" i="8" a="1"/>
  <c r="L24" i="8" s="1"/>
  <c r="K24" i="8" a="1"/>
  <c r="K24" i="8" s="1"/>
  <c r="J24" i="8" a="1"/>
  <c r="J24" i="8" s="1"/>
  <c r="I24" i="8" a="1"/>
  <c r="I24" i="8" s="1"/>
  <c r="H24" i="8" a="1"/>
  <c r="H24" i="8" s="1"/>
  <c r="G24" i="8" a="1"/>
  <c r="G24" i="8" s="1"/>
  <c r="F24" i="8" a="1"/>
  <c r="F24" i="8" s="1"/>
  <c r="E24" i="8" a="1"/>
  <c r="E24" i="8" s="1"/>
  <c r="D24" i="8" a="1"/>
  <c r="D24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 s="1"/>
  <c r="G23" i="8" a="1"/>
  <c r="G23" i="8" s="1"/>
  <c r="F23" i="8" a="1"/>
  <c r="F23" i="8" s="1"/>
  <c r="E23" i="8" a="1"/>
  <c r="E23" i="8" s="1"/>
  <c r="D23" i="8" a="1"/>
  <c r="D23" i="8" s="1"/>
  <c r="O26" i="8" a="1"/>
  <c r="O26" i="8" s="1"/>
  <c r="K35" i="8" s="1"/>
  <c r="P26" i="8" a="1"/>
  <c r="P26" i="8" s="1"/>
  <c r="L35" i="8" s="1"/>
  <c r="P35" i="8" s="1"/>
  <c r="Q26" i="8" a="1"/>
  <c r="Q26" i="8" s="1"/>
  <c r="M35" i="8" s="1"/>
  <c r="Q35" i="8" s="1"/>
  <c r="N26" i="8" a="1"/>
  <c r="N26" i="8" s="1"/>
  <c r="J35" i="8" s="1"/>
  <c r="O25" i="8" a="1"/>
  <c r="O25" i="8" s="1"/>
  <c r="K34" i="8" s="1"/>
  <c r="P25" i="8" a="1"/>
  <c r="P25" i="8" s="1"/>
  <c r="L34" i="8" s="1"/>
  <c r="P34" i="8" s="1"/>
  <c r="Q25" i="8" a="1"/>
  <c r="Q25" i="8" s="1"/>
  <c r="M34" i="8" s="1"/>
  <c r="Q34" i="8" s="1"/>
  <c r="N25" i="8" a="1"/>
  <c r="N25" i="8" s="1"/>
  <c r="J34" i="8" s="1"/>
  <c r="O24" i="8" a="1"/>
  <c r="O24" i="8" s="1"/>
  <c r="K33" i="8" s="1"/>
  <c r="P24" i="8" a="1"/>
  <c r="P24" i="8" s="1"/>
  <c r="L33" i="8" s="1"/>
  <c r="P33" i="8" s="1"/>
  <c r="N24" i="8" a="1"/>
  <c r="N24" i="8" s="1"/>
  <c r="J33" i="8" s="1"/>
  <c r="N12" i="8"/>
  <c r="O12" i="8"/>
  <c r="P12" i="8"/>
  <c r="Q12" i="8"/>
  <c r="N13" i="8"/>
  <c r="O13" i="8"/>
  <c r="P13" i="8"/>
  <c r="Q13" i="8"/>
  <c r="N16" i="8"/>
  <c r="O16" i="8"/>
  <c r="P16" i="8"/>
  <c r="Q16" i="8"/>
  <c r="N18" i="8"/>
  <c r="O18" i="8"/>
  <c r="P18" i="8"/>
  <c r="Q18" i="8"/>
  <c r="N20" i="8"/>
  <c r="O20" i="8"/>
  <c r="P20" i="8"/>
  <c r="Q20" i="8"/>
  <c r="N22" i="8"/>
  <c r="O22" i="8"/>
  <c r="P22" i="8"/>
  <c r="Q22" i="8"/>
  <c r="N11" i="8"/>
  <c r="O11" i="8"/>
  <c r="P11" i="8"/>
  <c r="Q11" i="8"/>
  <c r="J10" i="8"/>
  <c r="J11" i="8"/>
  <c r="J12" i="8"/>
  <c r="J13" i="8"/>
  <c r="J16" i="8"/>
  <c r="J17" i="8"/>
  <c r="J18" i="8"/>
  <c r="J20" i="8"/>
  <c r="J22" i="8"/>
  <c r="H11" i="8"/>
  <c r="H12" i="8"/>
  <c r="H13" i="8"/>
  <c r="H16" i="8"/>
  <c r="H17" i="8"/>
  <c r="H18" i="8"/>
  <c r="H20" i="8"/>
  <c r="H22" i="8"/>
  <c r="H10" i="8"/>
  <c r="R97" i="2"/>
  <c r="G32" i="8" s="1"/>
  <c r="G33" i="8" s="1"/>
  <c r="G34" i="8" s="1"/>
  <c r="G35" i="8" s="1"/>
  <c r="R94" i="2"/>
  <c r="H32" i="8" s="1"/>
  <c r="H33" i="8" s="1"/>
  <c r="H34" i="8" s="1"/>
  <c r="H35" i="8" s="1"/>
  <c r="E18" i="2"/>
  <c r="C8" i="9" a="1"/>
  <c r="G9" i="9" l="1"/>
  <c r="I9" i="10" s="1"/>
  <c r="G12" i="9"/>
  <c r="I12" i="10" s="1"/>
  <c r="F22" i="10" s="1"/>
  <c r="G10" i="9"/>
  <c r="I10" i="10" s="1"/>
  <c r="G11" i="9"/>
  <c r="I11" i="10" s="1"/>
  <c r="D22" i="10" s="1"/>
  <c r="U34" i="8"/>
  <c r="H11" i="10" s="1"/>
  <c r="D21" i="10" s="1"/>
  <c r="T32" i="8"/>
  <c r="G9" i="10" s="1"/>
  <c r="U32" i="8"/>
  <c r="H9" i="10" s="1"/>
  <c r="T34" i="8"/>
  <c r="G11" i="10" s="1"/>
  <c r="D20" i="10" s="1"/>
  <c r="U33" i="8"/>
  <c r="H10" i="10" s="1"/>
  <c r="U35" i="8"/>
  <c r="H12" i="10" s="1"/>
  <c r="F21" i="10" s="1"/>
  <c r="E21" i="10" s="1"/>
  <c r="T33" i="8"/>
  <c r="G10" i="10" s="1"/>
  <c r="T35" i="8"/>
  <c r="G12" i="10" s="1"/>
  <c r="F20" i="10" s="1"/>
  <c r="C8" i="9"/>
  <c r="D15" i="7"/>
  <c r="D16" i="7"/>
  <c r="D12" i="7"/>
  <c r="E22" i="10" l="1"/>
  <c r="E20" i="10"/>
  <c r="D17" i="7"/>
  <c r="R95" i="2"/>
  <c r="D19" i="7"/>
  <c r="M85" i="2"/>
  <c r="N86" i="2" s="1"/>
  <c r="O86" i="2" s="1"/>
  <c r="P86" i="2" s="1"/>
  <c r="Q86" i="2" s="1"/>
  <c r="R86" i="2" s="1"/>
  <c r="N84" i="2"/>
  <c r="O84" i="2" s="1"/>
  <c r="P84" i="2" s="1"/>
  <c r="Q84" i="2" s="1"/>
  <c r="R84" i="2" s="1"/>
  <c r="I146" i="2"/>
  <c r="I148" i="2" s="1"/>
  <c r="J146" i="2"/>
  <c r="K146" i="2"/>
  <c r="L146" i="2"/>
  <c r="L148" i="2" s="1"/>
  <c r="H146" i="2"/>
  <c r="H148" i="2" s="1"/>
  <c r="I142" i="2"/>
  <c r="J142" i="2"/>
  <c r="K142" i="2"/>
  <c r="L142" i="2"/>
  <c r="H142" i="2"/>
  <c r="I140" i="2"/>
  <c r="J140" i="2"/>
  <c r="K140" i="2"/>
  <c r="L140" i="2"/>
  <c r="H140" i="2"/>
  <c r="N80" i="2"/>
  <c r="O80" i="2"/>
  <c r="P80" i="2"/>
  <c r="M80" i="2"/>
  <c r="K27" i="5"/>
  <c r="J27" i="5"/>
  <c r="F27" i="5"/>
  <c r="E27" i="5"/>
  <c r="G27" i="5"/>
  <c r="H27" i="5"/>
  <c r="L27" i="5" s="1"/>
  <c r="I27" i="5"/>
  <c r="D27" i="5"/>
  <c r="K26" i="5"/>
  <c r="J26" i="5"/>
  <c r="I26" i="5"/>
  <c r="H26" i="5"/>
  <c r="G26" i="5"/>
  <c r="F26" i="5"/>
  <c r="E26" i="5"/>
  <c r="D26" i="5"/>
  <c r="C26" i="5"/>
  <c r="I20" i="5"/>
  <c r="J20" i="5"/>
  <c r="K20" i="5"/>
  <c r="L20" i="5"/>
  <c r="M20" i="5"/>
  <c r="H20" i="5"/>
  <c r="N53" i="2"/>
  <c r="N55" i="2" s="1"/>
  <c r="I18" i="5"/>
  <c r="J18" i="5"/>
  <c r="O53" i="2" s="1"/>
  <c r="O55" i="2" s="1"/>
  <c r="K18" i="5"/>
  <c r="P53" i="2" s="1"/>
  <c r="L18" i="5"/>
  <c r="Q53" i="2" s="1"/>
  <c r="Q55" i="2" s="1"/>
  <c r="I17" i="5"/>
  <c r="J17" i="5"/>
  <c r="K17" i="5"/>
  <c r="L17" i="5"/>
  <c r="M17" i="5"/>
  <c r="M18" i="5" s="1"/>
  <c r="R53" i="2" s="1"/>
  <c r="R55" i="2" s="1"/>
  <c r="H17" i="5"/>
  <c r="H18" i="5" s="1"/>
  <c r="M53" i="2" s="1"/>
  <c r="M54" i="2" s="1"/>
  <c r="N54" i="2" s="1"/>
  <c r="O54" i="2" s="1"/>
  <c r="P54" i="2" s="1"/>
  <c r="Q54" i="2" s="1"/>
  <c r="R54" i="2" s="1"/>
  <c r="P38" i="2"/>
  <c r="I15" i="5"/>
  <c r="J15" i="5"/>
  <c r="K15" i="5"/>
  <c r="L15" i="5"/>
  <c r="M15" i="5"/>
  <c r="H15" i="5"/>
  <c r="N47" i="2"/>
  <c r="O47" i="2"/>
  <c r="Q47" i="2"/>
  <c r="R47" i="2"/>
  <c r="R48" i="2" s="1"/>
  <c r="I14" i="5"/>
  <c r="J14" i="5"/>
  <c r="K14" i="5"/>
  <c r="P47" i="2" s="1"/>
  <c r="L14" i="5"/>
  <c r="M14" i="5"/>
  <c r="H14" i="5"/>
  <c r="M47" i="2" s="1"/>
  <c r="N40" i="2"/>
  <c r="O40" i="2" s="1"/>
  <c r="P40" i="2" s="1"/>
  <c r="Q40" i="2" s="1"/>
  <c r="R40" i="2" s="1"/>
  <c r="M31" i="2"/>
  <c r="M30" i="2"/>
  <c r="N30" i="2" s="1"/>
  <c r="O30" i="2" s="1"/>
  <c r="P30" i="2" s="1"/>
  <c r="Q30" i="2" s="1"/>
  <c r="R30" i="2" s="1"/>
  <c r="N29" i="2"/>
  <c r="O29" i="2" s="1"/>
  <c r="O11" i="4"/>
  <c r="O12" i="4" s="1"/>
  <c r="I66" i="2"/>
  <c r="J66" i="2"/>
  <c r="K66" i="2"/>
  <c r="L66" i="2"/>
  <c r="H66" i="2"/>
  <c r="I60" i="2"/>
  <c r="J60" i="2"/>
  <c r="K60" i="2"/>
  <c r="L60" i="2"/>
  <c r="H60" i="2"/>
  <c r="I51" i="2"/>
  <c r="J51" i="2"/>
  <c r="K51" i="2"/>
  <c r="L51" i="2"/>
  <c r="H51" i="2"/>
  <c r="I42" i="2"/>
  <c r="J42" i="2"/>
  <c r="K42" i="2"/>
  <c r="L42" i="2"/>
  <c r="H42" i="2"/>
  <c r="I33" i="2"/>
  <c r="J33" i="2"/>
  <c r="K33" i="2"/>
  <c r="L33" i="2"/>
  <c r="H33" i="2"/>
  <c r="I27" i="2"/>
  <c r="J27" i="2"/>
  <c r="K27" i="2"/>
  <c r="L27" i="2"/>
  <c r="H27" i="2"/>
  <c r="E10" i="2"/>
  <c r="I75" i="2"/>
  <c r="J75" i="2" s="1"/>
  <c r="K75" i="2" s="1"/>
  <c r="L75" i="2" s="1"/>
  <c r="I26" i="2"/>
  <c r="J26" i="2" s="1"/>
  <c r="K26" i="2" s="1"/>
  <c r="L26" i="2" s="1"/>
  <c r="M26" i="2" s="1"/>
  <c r="N26" i="2" s="1"/>
  <c r="O26" i="2" s="1"/>
  <c r="P26" i="2" s="1"/>
  <c r="Q26" i="2" s="1"/>
  <c r="R26" i="2" s="1"/>
  <c r="J144" i="2" l="1"/>
  <c r="N31" i="2"/>
  <c r="M28" i="2"/>
  <c r="P37" i="2"/>
  <c r="L143" i="2"/>
  <c r="L28" i="2"/>
  <c r="I32" i="8"/>
  <c r="L25" i="5"/>
  <c r="M27" i="5"/>
  <c r="H141" i="2"/>
  <c r="K141" i="2"/>
  <c r="H144" i="2"/>
  <c r="H150" i="2" s="1"/>
  <c r="K144" i="2"/>
  <c r="N85" i="2"/>
  <c r="O85" i="2" s="1"/>
  <c r="P85" i="2" s="1"/>
  <c r="Q85" i="2" s="1"/>
  <c r="R85" i="2" s="1"/>
  <c r="J141" i="2"/>
  <c r="I141" i="2"/>
  <c r="K147" i="2"/>
  <c r="H143" i="2"/>
  <c r="J147" i="2"/>
  <c r="M86" i="2"/>
  <c r="I143" i="2"/>
  <c r="L144" i="2"/>
  <c r="L150" i="2" s="1"/>
  <c r="I147" i="2"/>
  <c r="K148" i="2"/>
  <c r="J143" i="2"/>
  <c r="J148" i="2"/>
  <c r="J150" i="2" s="1"/>
  <c r="K143" i="2"/>
  <c r="L141" i="2"/>
  <c r="H147" i="2"/>
  <c r="L147" i="2"/>
  <c r="M147" i="2" s="1"/>
  <c r="N147" i="2" s="1"/>
  <c r="O147" i="2" s="1"/>
  <c r="P147" i="2" s="1"/>
  <c r="Q147" i="2" s="1"/>
  <c r="R147" i="2" s="1"/>
  <c r="M75" i="2"/>
  <c r="N75" i="2" s="1"/>
  <c r="O75" i="2" s="1"/>
  <c r="P75" i="2" s="1"/>
  <c r="Q75" i="2" s="1"/>
  <c r="R75" i="2" s="1"/>
  <c r="I144" i="2"/>
  <c r="I150" i="2" s="1"/>
  <c r="M49" i="2"/>
  <c r="Q52" i="2"/>
  <c r="H61" i="2"/>
  <c r="R52" i="2"/>
  <c r="Q38" i="2"/>
  <c r="R38" i="2" s="1"/>
  <c r="R37" i="2" s="1"/>
  <c r="K61" i="2"/>
  <c r="O52" i="2"/>
  <c r="L61" i="2"/>
  <c r="M61" i="2" s="1"/>
  <c r="N61" i="2" s="1"/>
  <c r="O61" i="2" s="1"/>
  <c r="P61" i="2" s="1"/>
  <c r="Q61" i="2" s="1"/>
  <c r="R61" i="2" s="1"/>
  <c r="J61" i="2"/>
  <c r="I43" i="2"/>
  <c r="R49" i="2"/>
  <c r="R46" i="2" s="1"/>
  <c r="N52" i="2"/>
  <c r="I61" i="2"/>
  <c r="H43" i="2"/>
  <c r="K43" i="2"/>
  <c r="M55" i="2"/>
  <c r="M52" i="2" s="1"/>
  <c r="J43" i="2"/>
  <c r="P55" i="2"/>
  <c r="P52" i="2" s="1"/>
  <c r="L43" i="2"/>
  <c r="M48" i="2"/>
  <c r="N48" i="2" s="1"/>
  <c r="O48" i="2" s="1"/>
  <c r="P48" i="2" s="1"/>
  <c r="Q48" i="2" s="1"/>
  <c r="O31" i="2"/>
  <c r="P31" i="2" s="1"/>
  <c r="Q31" i="2" s="1"/>
  <c r="R31" i="2" s="1"/>
  <c r="N28" i="2"/>
  <c r="P29" i="2"/>
  <c r="Q29" i="2" s="1"/>
  <c r="L35" i="2"/>
  <c r="L36" i="2" s="1"/>
  <c r="H52" i="2"/>
  <c r="J52" i="2"/>
  <c r="I35" i="2"/>
  <c r="I36" i="2" s="1"/>
  <c r="K28" i="2"/>
  <c r="I52" i="2"/>
  <c r="J28" i="2"/>
  <c r="H35" i="2"/>
  <c r="H36" i="2" s="1"/>
  <c r="L52" i="2"/>
  <c r="K52" i="2"/>
  <c r="I28" i="2"/>
  <c r="K35" i="2"/>
  <c r="J35" i="2"/>
  <c r="M46" i="2" l="1"/>
  <c r="O28" i="2"/>
  <c r="J151" i="2"/>
  <c r="K150" i="2"/>
  <c r="K151" i="2" s="1"/>
  <c r="I33" i="8"/>
  <c r="N32" i="8"/>
  <c r="R32" i="8" s="1"/>
  <c r="E9" i="10" s="1"/>
  <c r="O32" i="8"/>
  <c r="S32" i="8" s="1"/>
  <c r="F9" i="10" s="1"/>
  <c r="M143" i="2"/>
  <c r="N143" i="2" s="1"/>
  <c r="O143" i="2" s="1"/>
  <c r="P143" i="2" s="1"/>
  <c r="Q143" i="2" s="1"/>
  <c r="R143" i="2" s="1"/>
  <c r="M25" i="5"/>
  <c r="R80" i="2" s="1"/>
  <c r="Q80" i="2"/>
  <c r="M141" i="2"/>
  <c r="N141" i="2" s="1"/>
  <c r="O141" i="2" s="1"/>
  <c r="P141" i="2" s="1"/>
  <c r="Q141" i="2" s="1"/>
  <c r="R141" i="2" s="1"/>
  <c r="N49" i="2"/>
  <c r="I151" i="2"/>
  <c r="Q37" i="2"/>
  <c r="I37" i="2"/>
  <c r="P28" i="2"/>
  <c r="L45" i="2"/>
  <c r="Q28" i="2"/>
  <c r="R29" i="2"/>
  <c r="R28" i="2" s="1"/>
  <c r="I45" i="2"/>
  <c r="I46" i="2" s="1"/>
  <c r="H45" i="2"/>
  <c r="H46" i="2" s="1"/>
  <c r="J36" i="2"/>
  <c r="J37" i="2" s="1"/>
  <c r="J45" i="2"/>
  <c r="K36" i="2"/>
  <c r="K45" i="2"/>
  <c r="L151" i="2" l="1"/>
  <c r="O49" i="2"/>
  <c r="N46" i="2"/>
  <c r="I34" i="8"/>
  <c r="O33" i="8"/>
  <c r="S33" i="8" s="1"/>
  <c r="F10" i="10" s="1"/>
  <c r="N33" i="8"/>
  <c r="R33" i="8" s="1"/>
  <c r="E10" i="10" s="1"/>
  <c r="K37" i="2"/>
  <c r="L46" i="2"/>
  <c r="L57" i="2"/>
  <c r="L63" i="2" s="1"/>
  <c r="H57" i="2"/>
  <c r="H58" i="2" s="1"/>
  <c r="L37" i="2"/>
  <c r="I57" i="2"/>
  <c r="I58" i="2" s="1"/>
  <c r="H63" i="2"/>
  <c r="J46" i="2"/>
  <c r="J57" i="2"/>
  <c r="K46" i="2"/>
  <c r="K57" i="2"/>
  <c r="P49" i="2" l="1"/>
  <c r="O46" i="2"/>
  <c r="I35" i="8"/>
  <c r="N34" i="8"/>
  <c r="R34" i="8" s="1"/>
  <c r="E11" i="10" s="1"/>
  <c r="D18" i="10" s="1"/>
  <c r="O34" i="8"/>
  <c r="S34" i="8" s="1"/>
  <c r="F11" i="10" s="1"/>
  <c r="L58" i="2"/>
  <c r="M38" i="2"/>
  <c r="M39" i="2"/>
  <c r="N39" i="2" s="1"/>
  <c r="O39" i="2" s="1"/>
  <c r="O37" i="2" s="1"/>
  <c r="I63" i="2"/>
  <c r="I67" i="2" s="1"/>
  <c r="L64" i="2"/>
  <c r="L69" i="2"/>
  <c r="L70" i="2" s="1"/>
  <c r="L67" i="2"/>
  <c r="H64" i="2"/>
  <c r="H69" i="2"/>
  <c r="H70" i="2" s="1"/>
  <c r="H67" i="2"/>
  <c r="J58" i="2"/>
  <c r="J63" i="2"/>
  <c r="K58" i="2"/>
  <c r="K63" i="2"/>
  <c r="D19" i="10" l="1"/>
  <c r="M37" i="2"/>
  <c r="M36" i="2" s="1"/>
  <c r="N37" i="2"/>
  <c r="Q49" i="2"/>
  <c r="Q46" i="2" s="1"/>
  <c r="P46" i="2"/>
  <c r="O35" i="8"/>
  <c r="S35" i="8" s="1"/>
  <c r="F12" i="10" s="1"/>
  <c r="F19" i="10" s="1"/>
  <c r="N35" i="8"/>
  <c r="R35" i="8" s="1"/>
  <c r="E12" i="10" s="1"/>
  <c r="F18" i="10" s="1"/>
  <c r="E18" i="10" s="1"/>
  <c r="I64" i="2"/>
  <c r="I69" i="2"/>
  <c r="I70" i="2" s="1"/>
  <c r="K64" i="2"/>
  <c r="K69" i="2"/>
  <c r="K70" i="2" s="1"/>
  <c r="K67" i="2"/>
  <c r="J64" i="2"/>
  <c r="J69" i="2"/>
  <c r="J70" i="2" s="1"/>
  <c r="J67" i="2"/>
  <c r="M27" i="2"/>
  <c r="E19" i="10" l="1"/>
  <c r="K10" i="10"/>
  <c r="N36" i="2"/>
  <c r="O36" i="2" s="1"/>
  <c r="P36" i="2" s="1"/>
  <c r="Q36" i="2" s="1"/>
  <c r="R36" i="2" s="1"/>
  <c r="M140" i="2"/>
  <c r="M142" i="2"/>
  <c r="M67" i="2"/>
  <c r="M51" i="2"/>
  <c r="M79" i="2" s="1"/>
  <c r="M60" i="2"/>
  <c r="M35" i="2"/>
  <c r="M33" i="2" s="1"/>
  <c r="M146" i="2" s="1"/>
  <c r="M148" i="2" s="1"/>
  <c r="M45" i="2"/>
  <c r="N27" i="2"/>
  <c r="N142" i="2" s="1"/>
  <c r="M77" i="2" l="1"/>
  <c r="D18" i="7"/>
  <c r="D21" i="7" s="1"/>
  <c r="M144" i="2"/>
  <c r="M150" i="2" s="1"/>
  <c r="M151" i="2" s="1"/>
  <c r="M81" i="2" s="1"/>
  <c r="N60" i="2"/>
  <c r="N140" i="2"/>
  <c r="N67" i="2"/>
  <c r="N77" i="2" s="1"/>
  <c r="M57" i="2"/>
  <c r="N45" i="2"/>
  <c r="N51" i="2"/>
  <c r="N79" i="2" s="1"/>
  <c r="M42" i="2"/>
  <c r="M43" i="2" s="1"/>
  <c r="O27" i="2"/>
  <c r="O142" i="2" s="1"/>
  <c r="N35" i="2"/>
  <c r="N33" i="2" s="1"/>
  <c r="N146" i="2" s="1"/>
  <c r="N148" i="2" s="1"/>
  <c r="O67" i="2" l="1"/>
  <c r="P67" i="2" s="1"/>
  <c r="M20" i="2"/>
  <c r="E17" i="2" s="1"/>
  <c r="N144" i="2"/>
  <c r="N150" i="2" s="1"/>
  <c r="N151" i="2" s="1"/>
  <c r="N81" i="2" s="1"/>
  <c r="O60" i="2"/>
  <c r="O140" i="2"/>
  <c r="O144" i="2" s="1"/>
  <c r="M58" i="2"/>
  <c r="M76" i="2"/>
  <c r="M78" i="2" s="1"/>
  <c r="M82" i="2" s="1"/>
  <c r="M63" i="2"/>
  <c r="M64" i="2" s="1"/>
  <c r="N57" i="2"/>
  <c r="N76" i="2" s="1"/>
  <c r="N78" i="2" s="1"/>
  <c r="O45" i="2"/>
  <c r="O51" i="2"/>
  <c r="O79" i="2" s="1"/>
  <c r="N42" i="2"/>
  <c r="N43" i="2" s="1"/>
  <c r="P27" i="2"/>
  <c r="P142" i="2" s="1"/>
  <c r="O35" i="2"/>
  <c r="O33" i="2" s="1"/>
  <c r="O146" i="2" s="1"/>
  <c r="O148" i="2" s="1"/>
  <c r="O77" i="2" l="1"/>
  <c r="M88" i="2"/>
  <c r="O150" i="2"/>
  <c r="O151" i="2" s="1"/>
  <c r="O81" i="2" s="1"/>
  <c r="N82" i="2"/>
  <c r="N88" i="2" s="1"/>
  <c r="P60" i="2"/>
  <c r="P140" i="2"/>
  <c r="P144" i="2" s="1"/>
  <c r="Q67" i="2"/>
  <c r="P77" i="2"/>
  <c r="M66" i="2"/>
  <c r="M69" i="2" s="1"/>
  <c r="M70" i="2" s="1"/>
  <c r="N58" i="2"/>
  <c r="N63" i="2"/>
  <c r="O57" i="2"/>
  <c r="O76" i="2" s="1"/>
  <c r="O78" i="2" s="1"/>
  <c r="P45" i="2"/>
  <c r="P51" i="2"/>
  <c r="P79" i="2" s="1"/>
  <c r="O42" i="2"/>
  <c r="O43" i="2" s="1"/>
  <c r="Q27" i="2"/>
  <c r="Q142" i="2" s="1"/>
  <c r="P35" i="2"/>
  <c r="P33" i="2" s="1"/>
  <c r="P146" i="2" s="1"/>
  <c r="P148" i="2" s="1"/>
  <c r="O82" i="2" l="1"/>
  <c r="O88" i="2" s="1"/>
  <c r="P150" i="2"/>
  <c r="P151" i="2" s="1"/>
  <c r="P81" i="2" s="1"/>
  <c r="Q60" i="2"/>
  <c r="Q140" i="2"/>
  <c r="Q144" i="2" s="1"/>
  <c r="R67" i="2"/>
  <c r="R77" i="2" s="1"/>
  <c r="Q77" i="2"/>
  <c r="N64" i="2"/>
  <c r="N66" i="2"/>
  <c r="N69" i="2" s="1"/>
  <c r="N70" i="2" s="1"/>
  <c r="O58" i="2"/>
  <c r="O63" i="2"/>
  <c r="P57" i="2"/>
  <c r="P76" i="2" s="1"/>
  <c r="P78" i="2" s="1"/>
  <c r="Q45" i="2"/>
  <c r="Q51" i="2"/>
  <c r="Q79" i="2" s="1"/>
  <c r="P42" i="2"/>
  <c r="P43" i="2" s="1"/>
  <c r="R27" i="2"/>
  <c r="Q35" i="2"/>
  <c r="Q33" i="2" s="1"/>
  <c r="Q146" i="2" s="1"/>
  <c r="Q148" i="2" s="1"/>
  <c r="P82" i="2" l="1"/>
  <c r="P88" i="2" s="1"/>
  <c r="Q150" i="2"/>
  <c r="Q151" i="2" s="1"/>
  <c r="Q81" i="2" s="1"/>
  <c r="R140" i="2"/>
  <c r="R142" i="2"/>
  <c r="O64" i="2"/>
  <c r="O66" i="2"/>
  <c r="O69" i="2" s="1"/>
  <c r="O70" i="2" s="1"/>
  <c r="P58" i="2"/>
  <c r="P63" i="2"/>
  <c r="R51" i="2"/>
  <c r="R79" i="2" s="1"/>
  <c r="R60" i="2"/>
  <c r="Q57" i="2"/>
  <c r="Q76" i="2" s="1"/>
  <c r="Q78" i="2" s="1"/>
  <c r="Q42" i="2"/>
  <c r="Q43" i="2" s="1"/>
  <c r="R35" i="2"/>
  <c r="R33" i="2" s="1"/>
  <c r="R146" i="2" s="1"/>
  <c r="R148" i="2" s="1"/>
  <c r="R45" i="2"/>
  <c r="Q82" i="2" l="1"/>
  <c r="Q88" i="2" s="1"/>
  <c r="R144" i="2"/>
  <c r="R150" i="2" s="1"/>
  <c r="R151" i="2" s="1"/>
  <c r="R81" i="2" s="1"/>
  <c r="R57" i="2"/>
  <c r="P64" i="2"/>
  <c r="P66" i="2"/>
  <c r="P69" i="2" s="1"/>
  <c r="P70" i="2" s="1"/>
  <c r="Q58" i="2"/>
  <c r="Q63" i="2"/>
  <c r="R42" i="2"/>
  <c r="R43" i="2" s="1"/>
  <c r="R63" i="2" l="1"/>
  <c r="R64" i="2" s="1"/>
  <c r="R76" i="2"/>
  <c r="R78" i="2" s="1"/>
  <c r="R82" i="2" s="1"/>
  <c r="R90" i="2" s="1"/>
  <c r="R91" i="2" s="1"/>
  <c r="R58" i="2"/>
  <c r="Q64" i="2"/>
  <c r="Q66" i="2"/>
  <c r="Q69" i="2" s="1"/>
  <c r="Q70" i="2" s="1"/>
  <c r="R88" i="2" l="1"/>
  <c r="R93" i="2" s="1"/>
  <c r="R96" i="2" s="1"/>
  <c r="R98" i="2" s="1"/>
  <c r="E103" i="2" s="1"/>
  <c r="R66" i="2"/>
  <c r="R69" i="2" s="1"/>
  <c r="R70" i="2" s="1"/>
  <c r="I8" i="2" l="1"/>
  <c r="I9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9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</futureMetadata>
  <cellMetadata count="1">
    <bk>
      <rc t="1" v="0"/>
    </bk>
  </cellMetadata>
  <valueMetadata count="49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</valueMetadata>
</metadata>
</file>

<file path=xl/sharedStrings.xml><?xml version="1.0" encoding="utf-8"?>
<sst xmlns="http://schemas.openxmlformats.org/spreadsheetml/2006/main" count="456" uniqueCount="289">
  <si>
    <t>Agenda</t>
  </si>
  <si>
    <t>X</t>
  </si>
  <si>
    <t>DCF</t>
  </si>
  <si>
    <t>Comps analysis</t>
  </si>
  <si>
    <t>Football chart</t>
  </si>
  <si>
    <t>DCF model</t>
  </si>
  <si>
    <t>Overview</t>
  </si>
  <si>
    <t>•</t>
  </si>
  <si>
    <t>Assumptions</t>
  </si>
  <si>
    <t>Income statement</t>
  </si>
  <si>
    <t>Actuals</t>
  </si>
  <si>
    <t>Projections</t>
  </si>
  <si>
    <t>End</t>
  </si>
  <si>
    <t>Ticker</t>
  </si>
  <si>
    <t>Comp name</t>
  </si>
  <si>
    <t>Date</t>
  </si>
  <si>
    <t>Price per share</t>
  </si>
  <si>
    <t>% delta vs current</t>
  </si>
  <si>
    <t>McDonald's Corporation</t>
  </si>
  <si>
    <t>MCD</t>
  </si>
  <si>
    <t>Triggers</t>
  </si>
  <si>
    <t>Year</t>
  </si>
  <si>
    <t>Amount</t>
  </si>
  <si>
    <t>Conservative</t>
  </si>
  <si>
    <t>Base / Street</t>
  </si>
  <si>
    <t>Optimistic</t>
  </si>
  <si>
    <t>McDonald's Corporation (MCD)</t>
  </si>
  <si>
    <t>$310.45</t>
  </si>
  <si>
    <t xml:space="preserve">MCD   580135101   2550707   NYSE    Common stock    </t>
  </si>
  <si>
    <t>Source: FactSet Fundamentals</t>
  </si>
  <si>
    <t>DEC '15</t>
  </si>
  <si>
    <t>DEC '16</t>
  </si>
  <si>
    <t>DEC '17</t>
  </si>
  <si>
    <t>DEC '18</t>
  </si>
  <si>
    <t>DEC '19</t>
  </si>
  <si>
    <t>DEC '20</t>
  </si>
  <si>
    <t>DEC '21</t>
  </si>
  <si>
    <t>DEC '22</t>
  </si>
  <si>
    <t>DEC '23</t>
  </si>
  <si>
    <t>DEC '24</t>
  </si>
  <si>
    <t>SEP '25</t>
  </si>
  <si>
    <t>LTM</t>
  </si>
  <si>
    <t>Restate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</si>
  <si>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</si>
  <si>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</si>
  <si>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</si>
  <si>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</si>
  <si>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</si>
  <si>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</si>
  <si>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</si>
  <si>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</si>
  <si>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Other SG&amp;A</t>
  </si>
  <si>
    <t>EBIT (Operating Income)</t>
  </si>
  <si>
    <t>Nonoperating Income - Net</t>
  </si>
  <si>
    <t>Nonoperating Interest Income</t>
  </si>
  <si>
    <t>Equity in Earnings of Affiliates</t>
  </si>
  <si>
    <t>Other Income (Expense)</t>
  </si>
  <si>
    <t>Interest Expense</t>
  </si>
  <si>
    <t>Gross Interest Expense</t>
  </si>
  <si>
    <t>Interest Capitalized</t>
  </si>
  <si>
    <t>Unusual Expense - Net</t>
  </si>
  <si>
    <t>Restructuring Expense</t>
  </si>
  <si>
    <t>Unrealized Valuation Gain/Loss</t>
  </si>
  <si>
    <t>Hedges/Derivatives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</si>
  <si>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</si>
  <si>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</si>
  <si>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</si>
  <si>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</si>
  <si>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</si>
  <si>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</si>
  <si>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</si>
  <si>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Net Income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</si>
  <si>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</si>
  <si>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</si>
  <si>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</si>
  <si>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</si>
  <si>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</si>
  <si>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</si>
  <si>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</si>
  <si>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</si>
  <si>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</si>
  <si>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Dividends per Share</t>
  </si>
  <si>
    <t>Payout Ratio</t>
  </si>
  <si>
    <t>EBITDA</t>
  </si>
  <si>
    <t>EBIT</t>
  </si>
  <si>
    <t>All figures in millions of Euro except per share items.</t>
  </si>
  <si>
    <t>Revenue</t>
  </si>
  <si>
    <t>% growth</t>
  </si>
  <si>
    <t>COGS</t>
  </si>
  <si>
    <t>% sales</t>
  </si>
  <si>
    <t>Gross profit</t>
  </si>
  <si>
    <t>% margin</t>
  </si>
  <si>
    <t>Opex</t>
  </si>
  <si>
    <t>D&amp;A</t>
  </si>
  <si>
    <t>Interests</t>
  </si>
  <si>
    <t>Taxable income</t>
  </si>
  <si>
    <t>Net income</t>
  </si>
  <si>
    <t>(1-Tax)</t>
  </si>
  <si>
    <t>EBIAT (or NOPAT)</t>
  </si>
  <si>
    <t>Plus D&amp;A</t>
  </si>
  <si>
    <t>Less Capex</t>
  </si>
  <si>
    <t>Less Change in WC</t>
  </si>
  <si>
    <t>Free Cash Flow</t>
  </si>
  <si>
    <t>Mid year convention DP</t>
  </si>
  <si>
    <t>Discounted FCF</t>
  </si>
  <si>
    <t>Terminal value</t>
  </si>
  <si>
    <t>Discounted TV</t>
  </si>
  <si>
    <t>Enterprise value</t>
  </si>
  <si>
    <t>Plus Cash</t>
  </si>
  <si>
    <t>Less Debt</t>
  </si>
  <si>
    <t>Equity value</t>
  </si>
  <si>
    <t>Number of shares</t>
  </si>
  <si>
    <t>Taxes</t>
  </si>
  <si>
    <t>% tax rate</t>
  </si>
  <si>
    <t>fractin of the year recorded</t>
  </si>
  <si>
    <t>calculate with a prop the total of the year</t>
  </si>
  <si>
    <t>MCD-US</t>
  </si>
  <si>
    <t>Income Statement (M)</t>
  </si>
  <si>
    <t>Dec '20</t>
  </si>
  <si>
    <t>Dec '21</t>
  </si>
  <si>
    <t>Dec '22</t>
  </si>
  <si>
    <t>Dec '23</t>
  </si>
  <si>
    <t>Dec '24</t>
  </si>
  <si>
    <t>Dec '25E</t>
  </si>
  <si>
    <t>Dec '26E</t>
  </si>
  <si>
    <t>Dec '27E</t>
  </si>
  <si>
    <t>Dec '28E</t>
  </si>
  <si>
    <t>Dec '29E</t>
  </si>
  <si>
    <t>Dec '30E</t>
  </si>
  <si>
    <t>Cost of Sales</t>
  </si>
  <si>
    <t>-</t>
  </si>
  <si>
    <t>Compensation and Benefits</t>
  </si>
  <si>
    <t>Operating Income</t>
  </si>
  <si>
    <t>Tax Expense</t>
  </si>
  <si>
    <t>1. Base</t>
  </si>
  <si>
    <t>2. Conservative</t>
  </si>
  <si>
    <t>3. Optimistic</t>
  </si>
  <si>
    <t>Scenario</t>
  </si>
  <si>
    <t>25-'30</t>
  </si>
  <si>
    <t>Revenue gr</t>
  </si>
  <si>
    <t>% margin EBITDA</t>
  </si>
  <si>
    <t>EBITDA margin</t>
  </si>
  <si>
    <t>25</t>
  </si>
  <si>
    <t>30</t>
  </si>
  <si>
    <t>Capex</t>
  </si>
  <si>
    <t>Assets</t>
  </si>
  <si>
    <t>Cash &amp; Short-Term Investments</t>
  </si>
  <si>
    <t>Cash Only</t>
  </si>
  <si>
    <t>Short-Term Receivables</t>
  </si>
  <si>
    <t>Accounts Receivables, Net</t>
  </si>
  <si>
    <t>Accounts Receivables, Gross</t>
  </si>
  <si>
    <t>Inventories</t>
  </si>
  <si>
    <t>Finished Goods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</si>
  <si>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</si>
  <si>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</si>
  <si>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</si>
  <si>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</si>
  <si>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</si>
  <si>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</si>
  <si>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</si>
  <si>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</si>
  <si>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</si>
  <si>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</si>
  <si>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</si>
  <si>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</si>
  <si>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</si>
  <si>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</si>
  <si>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Intangible Assets</t>
  </si>
  <si>
    <t>Goodwill</t>
  </si>
  <si>
    <t>Other Intangible Assets</t>
  </si>
  <si>
    <t>Deferred Tax Assets</t>
  </si>
  <si>
    <t>Other Assets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</si>
  <si>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</si>
  <si>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</si>
  <si>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</si>
  <si>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</si>
  <si>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</si>
  <si>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</si>
  <si>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Income Tax Payable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</si>
  <si>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</si>
  <si>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</si>
  <si>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</si>
  <si>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</si>
  <si>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</si>
  <si>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</si>
  <si>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</si>
  <si>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</si>
  <si>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Deferred Tax Liabilities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</si>
  <si>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</si>
  <si>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</si>
  <si>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</si>
  <si>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</si>
  <si>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</si>
  <si>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</si>
  <si>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</si>
  <si>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</si>
  <si>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</si>
  <si>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</si>
  <si>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Other Appropriated Reserves</t>
  </si>
  <si>
    <t>Treasury Stock</t>
  </si>
  <si>
    <t>Total Shareholders' Equity</t>
  </si>
  <si>
    <t>Total Equity</t>
  </si>
  <si>
    <t>Total Liabilities &amp; Shareholders' Equity</t>
  </si>
  <si>
    <t>Book Value per Share</t>
  </si>
  <si>
    <t>Tangible Book Value per Share</t>
  </si>
  <si>
    <t>Working Cap</t>
  </si>
  <si>
    <t>AR</t>
  </si>
  <si>
    <t>inventories</t>
  </si>
  <si>
    <t>Tot current assets</t>
  </si>
  <si>
    <t>AP</t>
  </si>
  <si>
    <t>Tot current liab</t>
  </si>
  <si>
    <t>WC</t>
  </si>
  <si>
    <t>Change in WC</t>
  </si>
  <si>
    <t>% COGS</t>
  </si>
  <si>
    <t>Discount period not corrected</t>
  </si>
  <si>
    <t>Fraction of year left</t>
  </si>
  <si>
    <t>WACC</t>
  </si>
  <si>
    <t>Ke = Rf + Beta * (Rm - Rf)</t>
  </si>
  <si>
    <t>Rm - Rf = MRP</t>
  </si>
  <si>
    <t>WACC =  kE*(E/E+D) + kd * D/D+E * (1-tax)</t>
  </si>
  <si>
    <t>Rf</t>
  </si>
  <si>
    <t>Beta</t>
  </si>
  <si>
    <t>MRP</t>
  </si>
  <si>
    <t>Ke</t>
  </si>
  <si>
    <t>E</t>
  </si>
  <si>
    <t>D</t>
  </si>
  <si>
    <t>E%</t>
  </si>
  <si>
    <t>D%</t>
  </si>
  <si>
    <t>Kd</t>
  </si>
  <si>
    <t>1-Tax</t>
  </si>
  <si>
    <t>10-yr treas yield - google</t>
  </si>
  <si>
    <t>Factset</t>
  </si>
  <si>
    <t>Damodoran</t>
  </si>
  <si>
    <t>BS</t>
  </si>
  <si>
    <t>TGR</t>
  </si>
  <si>
    <t>Exch. EUR-USD</t>
  </si>
  <si>
    <t>Valuation USD</t>
  </si>
  <si>
    <t>€M</t>
  </si>
  <si>
    <t>Comps</t>
  </si>
  <si>
    <t>Name</t>
  </si>
  <si>
    <t>Tyson Foods</t>
  </si>
  <si>
    <t>Starbucks</t>
  </si>
  <si>
    <t>Chipotle</t>
  </si>
  <si>
    <t>Burger King</t>
  </si>
  <si>
    <t>KFC</t>
  </si>
  <si>
    <t>Domino's Pizza</t>
  </si>
  <si>
    <t>Jack In The Box</t>
  </si>
  <si>
    <t>Papa John's</t>
  </si>
  <si>
    <t>Subway</t>
  </si>
  <si>
    <t>Wendy's</t>
  </si>
  <si>
    <t>Chick-fil-A</t>
  </si>
  <si>
    <t>Shake Shack</t>
  </si>
  <si>
    <t>McDonald's</t>
  </si>
  <si>
    <t>Market Cap</t>
  </si>
  <si>
    <t>EV / Revenue</t>
  </si>
  <si>
    <t>EV / EBITDA</t>
  </si>
  <si>
    <t>P / E</t>
  </si>
  <si>
    <t>McD Valuation</t>
  </si>
  <si>
    <t>P / Sales</t>
  </si>
  <si>
    <t>Median</t>
  </si>
  <si>
    <t>25th percentile</t>
  </si>
  <si>
    <t>75th percentile</t>
  </si>
  <si>
    <t>EV</t>
  </si>
  <si>
    <t>Price / share</t>
  </si>
  <si>
    <t>Employees</t>
  </si>
  <si>
    <t>all values in B USD</t>
  </si>
  <si>
    <t>EBITDA %</t>
  </si>
  <si>
    <t>NI %</t>
  </si>
  <si>
    <t>Rev growth</t>
  </si>
  <si>
    <t>Mean</t>
  </si>
  <si>
    <t>Selected?</t>
  </si>
  <si>
    <t>Valuation</t>
  </si>
  <si>
    <t># Shares</t>
  </si>
  <si>
    <t>Cash</t>
  </si>
  <si>
    <t>Debt</t>
  </si>
  <si>
    <t>Share price</t>
  </si>
  <si>
    <t>Historical share price</t>
  </si>
  <si>
    <t>Summary</t>
  </si>
  <si>
    <t>52-wk Range</t>
  </si>
  <si>
    <t>Metrics</t>
  </si>
  <si>
    <t>Sensitivity analysis</t>
  </si>
  <si>
    <t>Base case</t>
  </si>
  <si>
    <t>Conservative case</t>
  </si>
  <si>
    <t>Optimistic case</t>
  </si>
  <si>
    <t>Dynamic</t>
  </si>
  <si>
    <t>Method</t>
  </si>
  <si>
    <t>Min</t>
  </si>
  <si>
    <t>Difference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</si>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</sst>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-* #,##0.00\ [$USD]_-;\-* #,##0.00\ [$USD]_-;_-* &quot;-&quot;??\ [$USD]_-;_-@_-"/>
    <numFmt numFmtId="165" formatCode="#,##0;\(#,##0\);&quot;--&quot;"/>
    <numFmt numFmtId="166" formatCode="0.0%"/>
    <numFmt numFmtId="167" formatCode="#,##0.00;\(#,##0.00\);&quot;--&quot;"/>
    <numFmt numFmtId="168" formatCode="#,##0.000;\(#,##0.000\);&quot;--&quot;"/>
    <numFmt numFmtId="169" formatCode="0.0000"/>
    <numFmt numFmtId="170" formatCode="0.00&quot;x&quot;"/>
    <numFmt numFmtId="171" formatCode="000&quot; Mln&quot;"/>
    <numFmt numFmtId="172" formatCode="_-* #,##0\ [$USD]_-;\-* #,##0\ [$USD]_-;_-* &quot;-&quot;??\ [$USD]_-;_-@_-"/>
    <numFmt numFmtId="173" formatCode="_([$$-409]* #,##0.00_);_([$$-409]* \(#,##0.00\);_([$$-409]* &quot;-&quot;??_);_(@_)"/>
    <numFmt numFmtId="174" formatCode=";;;"/>
    <numFmt numFmtId="175" formatCode="_-[$$-409]* #,##0.00_ ;_-[$$-409]* \-#,##0.00\ ;_-[$$-409]* &quot;-&quot;??_ ;_-@_ "/>
  </numFmts>
  <fonts count="3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rgb="FFFFFFFF"/>
      <name val="Aptos Narrow"/>
      <scheme val="minor"/>
    </font>
    <font>
      <b/>
      <sz val="20"/>
      <color rgb="FFFFFFFF"/>
      <name val="Aptos Narrow"/>
      <scheme val="minor"/>
    </font>
    <font>
      <i/>
      <u val="singleAccounting"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sz val="10"/>
      <color rgb="FF646464"/>
      <name val="Arial"/>
      <family val="2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rgb="FF000000"/>
      <name val="Aptos Narrow"/>
      <scheme val="minor"/>
    </font>
    <font>
      <i/>
      <sz val="12"/>
      <color rgb="FF05B050"/>
      <name val="Aptos Narrow"/>
      <scheme val="minor"/>
    </font>
    <font>
      <sz val="12"/>
      <color rgb="FF05B050"/>
      <name val="Aptos Narrow"/>
      <family val="2"/>
      <scheme val="minor"/>
    </font>
    <font>
      <i/>
      <sz val="12"/>
      <color rgb="FF0432FF"/>
      <name val="Aptos Narrow"/>
      <scheme val="minor"/>
    </font>
    <font>
      <b/>
      <sz val="10"/>
      <color theme="1"/>
      <name val="Arial"/>
      <family val="2"/>
    </font>
    <font>
      <sz val="12"/>
      <color rgb="FF0432FF"/>
      <name val="Aptos Narrow"/>
      <family val="2"/>
      <scheme val="minor"/>
    </font>
    <font>
      <sz val="12"/>
      <color rgb="FF05B050"/>
      <name val="Aptos Narrow"/>
      <scheme val="minor"/>
    </font>
    <font>
      <b/>
      <sz val="9"/>
      <color theme="1"/>
      <name val="Aptos Narrow"/>
      <scheme val="minor"/>
    </font>
    <font>
      <sz val="9"/>
      <color theme="1"/>
      <name val="Aptos Narrow"/>
      <scheme val="minor"/>
    </font>
    <font>
      <b/>
      <sz val="9"/>
      <color rgb="FFFFFFFF"/>
      <name val="Aptos Narrow"/>
      <scheme val="minor"/>
    </font>
    <font>
      <i/>
      <sz val="9"/>
      <color theme="1"/>
      <name val="Aptos Narrow"/>
      <scheme val="minor"/>
    </font>
    <font>
      <sz val="9"/>
      <color rgb="FF0432FF"/>
      <name val="Aptos Narrow"/>
      <scheme val="minor"/>
    </font>
    <font>
      <sz val="9"/>
      <color rgb="FF000000"/>
      <name val="Aptos Narrow"/>
      <scheme val="minor"/>
    </font>
    <font>
      <sz val="9"/>
      <color theme="1"/>
      <name val="Aptos Narrow"/>
      <family val="2"/>
      <scheme val="minor"/>
    </font>
    <font>
      <i/>
      <u val="singleAccounting"/>
      <sz val="9"/>
      <color theme="1"/>
      <name val="Aptos Narrow"/>
      <scheme val="minor"/>
    </font>
    <font>
      <u val="singleAccounting"/>
      <sz val="9"/>
      <color theme="1"/>
      <name val="Aptos Narrow"/>
      <scheme val="minor"/>
    </font>
    <font>
      <u val="singleAccounting"/>
      <sz val="12"/>
      <color theme="1"/>
      <name val="Aptos Narrow"/>
      <family val="2"/>
      <scheme val="minor"/>
    </font>
    <font>
      <sz val="12"/>
      <color rgb="FFFFFFFF"/>
      <name val="Aptos Narrow"/>
      <scheme val="minor"/>
    </font>
    <font>
      <sz val="12"/>
      <color rgb="FFFFFFF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E274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8C8C8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747474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C9C9C9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14">
    <xf numFmtId="0" fontId="0" fillId="0" borderId="0" xfId="0"/>
    <xf numFmtId="0" fontId="0" fillId="0" borderId="2" xfId="0" applyBorder="1"/>
    <xf numFmtId="0" fontId="2" fillId="0" borderId="2" xfId="0" applyFont="1" applyBorder="1"/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5" fillId="4" borderId="0" xfId="0" applyFont="1" applyFill="1" applyAlignment="1">
      <alignment horizontal="centerContinuous"/>
    </xf>
    <xf numFmtId="0" fontId="0" fillId="4" borderId="0" xfId="0" applyFill="1" applyAlignment="1">
      <alignment horizontal="centerContinuous"/>
    </xf>
    <xf numFmtId="0" fontId="5" fillId="5" borderId="0" xfId="0" applyFont="1" applyFill="1" applyAlignment="1">
      <alignment horizontal="centerContinuous"/>
    </xf>
    <xf numFmtId="0" fontId="0" fillId="0" borderId="3" xfId="0" applyBorder="1"/>
    <xf numFmtId="0" fontId="0" fillId="0" borderId="3" xfId="0" applyBorder="1" applyAlignment="1">
      <alignment horizontal="right"/>
    </xf>
    <xf numFmtId="14" fontId="0" fillId="0" borderId="3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9" fontId="0" fillId="0" borderId="4" xfId="0" applyNumberFormat="1" applyBorder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5" xfId="0" applyFont="1" applyBorder="1"/>
    <xf numFmtId="0" fontId="9" fillId="0" borderId="6" xfId="0" applyFont="1" applyBorder="1"/>
    <xf numFmtId="0" fontId="8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0" fillId="0" borderId="0" xfId="0" applyNumberFormat="1" applyFont="1" applyAlignment="1">
      <alignment horizontal="right"/>
    </xf>
    <xf numFmtId="0" fontId="10" fillId="7" borderId="0" xfId="0" applyFont="1" applyFill="1" applyAlignment="1">
      <alignment horizontal="left" indent="3"/>
    </xf>
    <xf numFmtId="3" fontId="10" fillId="7" borderId="0" xfId="0" applyNumberFormat="1" applyFont="1" applyFill="1" applyAlignment="1">
      <alignment horizontal="right"/>
    </xf>
    <xf numFmtId="0" fontId="0" fillId="0" borderId="0" xfId="0" applyAlignment="1">
      <alignment horizontal="left" indent="4"/>
    </xf>
    <xf numFmtId="0" fontId="9" fillId="0" borderId="0" xfId="0" applyFont="1" applyAlignment="1">
      <alignment horizontal="left" indent="4"/>
    </xf>
    <xf numFmtId="3" fontId="9" fillId="0" borderId="0" xfId="0" applyNumberFormat="1" applyFont="1" applyAlignment="1">
      <alignment horizontal="right"/>
    </xf>
    <xf numFmtId="0" fontId="10" fillId="7" borderId="0" xfId="0" applyFont="1" applyFill="1" applyAlignment="1">
      <alignment horizontal="left" indent="6"/>
    </xf>
    <xf numFmtId="0" fontId="0" fillId="0" borderId="0" xfId="0" applyAlignment="1">
      <alignment horizontal="left" indent="7"/>
    </xf>
    <xf numFmtId="0" fontId="9" fillId="0" borderId="0" xfId="0" applyFont="1" applyAlignment="1">
      <alignment horizontal="left" indent="7"/>
    </xf>
    <xf numFmtId="0" fontId="9" fillId="0" borderId="0" xfId="0" applyFont="1" applyAlignment="1">
      <alignment horizontal="left"/>
    </xf>
    <xf numFmtId="0" fontId="9" fillId="7" borderId="0" xfId="0" applyFont="1" applyFill="1" applyAlignment="1">
      <alignment horizontal="left" indent="7"/>
    </xf>
    <xf numFmtId="3" fontId="9" fillId="7" borderId="0" xfId="0" applyNumberFormat="1" applyFont="1" applyFill="1" applyAlignment="1">
      <alignment horizontal="right"/>
    </xf>
    <xf numFmtId="0" fontId="9" fillId="7" borderId="0" xfId="0" applyFont="1" applyFill="1" applyAlignment="1">
      <alignment horizontal="left"/>
    </xf>
    <xf numFmtId="0" fontId="10" fillId="7" borderId="0" xfId="0" applyFont="1" applyFill="1" applyAlignment="1">
      <alignment horizontal="left"/>
    </xf>
    <xf numFmtId="0" fontId="10" fillId="0" borderId="0" xfId="0" applyFont="1" applyAlignment="1">
      <alignment horizontal="left" indent="3"/>
    </xf>
    <xf numFmtId="0" fontId="9" fillId="7" borderId="0" xfId="0" applyFont="1" applyFill="1" applyAlignment="1">
      <alignment horizontal="left" indent="4"/>
    </xf>
    <xf numFmtId="3" fontId="11" fillId="0" borderId="0" xfId="0" applyNumberFormat="1" applyFont="1" applyAlignment="1">
      <alignment horizontal="right"/>
    </xf>
    <xf numFmtId="3" fontId="11" fillId="7" borderId="0" xfId="0" applyNumberFormat="1" applyFont="1" applyFill="1" applyAlignment="1">
      <alignment horizontal="right"/>
    </xf>
    <xf numFmtId="0" fontId="9" fillId="7" borderId="0" xfId="0" applyFont="1" applyFill="1" applyAlignment="1">
      <alignment horizontal="left" indent="1"/>
    </xf>
    <xf numFmtId="4" fontId="9" fillId="7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10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4" fontId="10" fillId="7" borderId="0" xfId="0" applyNumberFormat="1" applyFont="1" applyFill="1" applyAlignment="1">
      <alignment horizontal="right"/>
    </xf>
    <xf numFmtId="0" fontId="0" fillId="0" borderId="0" xfId="0" applyAlignment="1">
      <alignment horizontal="left" indent="1"/>
    </xf>
    <xf numFmtId="0" fontId="9" fillId="0" borderId="0" xfId="0" applyFont="1" applyAlignment="1">
      <alignment horizontal="left" inden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left" indent="1"/>
    </xf>
    <xf numFmtId="165" fontId="0" fillId="0" borderId="0" xfId="0" applyNumberFormat="1"/>
    <xf numFmtId="165" fontId="13" fillId="0" borderId="0" xfId="0" applyNumberFormat="1" applyFont="1"/>
    <xf numFmtId="165" fontId="0" fillId="3" borderId="0" xfId="0" applyNumberFormat="1" applyFill="1"/>
    <xf numFmtId="165" fontId="0" fillId="4" borderId="0" xfId="0" applyNumberFormat="1" applyFill="1"/>
    <xf numFmtId="165" fontId="5" fillId="4" borderId="0" xfId="0" applyNumberFormat="1" applyFont="1" applyFill="1" applyAlignment="1">
      <alignment horizontal="centerContinuous"/>
    </xf>
    <xf numFmtId="165" fontId="0" fillId="4" borderId="0" xfId="0" applyNumberFormat="1" applyFill="1" applyAlignment="1">
      <alignment horizontal="centerContinuous"/>
    </xf>
    <xf numFmtId="165" fontId="5" fillId="5" borderId="0" xfId="0" applyNumberFormat="1" applyFont="1" applyFill="1" applyAlignment="1">
      <alignment horizontal="centerContinuous"/>
    </xf>
    <xf numFmtId="0" fontId="14" fillId="0" borderId="0" xfId="0" applyFont="1"/>
    <xf numFmtId="9" fontId="13" fillId="0" borderId="0" xfId="0" applyNumberFormat="1" applyFont="1"/>
    <xf numFmtId="165" fontId="7" fillId="0" borderId="0" xfId="0" applyNumberFormat="1" applyFont="1"/>
    <xf numFmtId="9" fontId="10" fillId="0" borderId="0" xfId="0" applyNumberFormat="1" applyFont="1" applyAlignment="1">
      <alignment horizontal="left"/>
    </xf>
    <xf numFmtId="9" fontId="0" fillId="0" borderId="0" xfId="0" applyNumberFormat="1"/>
    <xf numFmtId="0" fontId="10" fillId="6" borderId="0" xfId="0" applyFont="1" applyFill="1" applyAlignment="1">
      <alignment horizontal="left"/>
    </xf>
    <xf numFmtId="9" fontId="13" fillId="2" borderId="1" xfId="1" applyNumberFormat="1" applyFont="1"/>
    <xf numFmtId="166" fontId="13" fillId="2" borderId="1" xfId="1" applyNumberFormat="1" applyFont="1"/>
    <xf numFmtId="0" fontId="0" fillId="0" borderId="0" xfId="0" quotePrefix="1" applyAlignment="1">
      <alignment horizontal="right"/>
    </xf>
    <xf numFmtId="0" fontId="9" fillId="0" borderId="7" xfId="0" applyFont="1" applyBorder="1"/>
    <xf numFmtId="0" fontId="10" fillId="6" borderId="7" xfId="0" applyFont="1" applyFill="1" applyBorder="1" applyAlignment="1">
      <alignment horizontal="left"/>
    </xf>
    <xf numFmtId="3" fontId="9" fillId="7" borderId="7" xfId="0" applyNumberFormat="1" applyFont="1" applyFill="1" applyBorder="1" applyAlignment="1">
      <alignment horizontal="right"/>
    </xf>
    <xf numFmtId="3" fontId="9" fillId="0" borderId="7" xfId="0" applyNumberFormat="1" applyFont="1" applyBorder="1" applyAlignment="1">
      <alignment horizontal="right"/>
    </xf>
    <xf numFmtId="0" fontId="9" fillId="7" borderId="7" xfId="0" applyFont="1" applyFill="1" applyBorder="1" applyAlignment="1">
      <alignment horizontal="left"/>
    </xf>
    <xf numFmtId="0" fontId="9" fillId="0" borderId="7" xfId="0" applyFont="1" applyBorder="1" applyAlignment="1">
      <alignment horizontal="left"/>
    </xf>
    <xf numFmtId="0" fontId="0" fillId="0" borderId="7" xfId="0" applyBorder="1"/>
    <xf numFmtId="9" fontId="16" fillId="2" borderId="1" xfId="1" applyNumberFormat="1" applyFont="1"/>
    <xf numFmtId="165" fontId="17" fillId="0" borderId="0" xfId="0" applyNumberFormat="1" applyFont="1"/>
    <xf numFmtId="166" fontId="18" fillId="2" borderId="1" xfId="1" applyNumberFormat="1" applyFont="1"/>
    <xf numFmtId="9" fontId="15" fillId="0" borderId="0" xfId="0" applyNumberFormat="1" applyFont="1"/>
    <xf numFmtId="0" fontId="7" fillId="4" borderId="0" xfId="0" applyFont="1" applyFill="1"/>
    <xf numFmtId="0" fontId="7" fillId="5" borderId="0" xfId="0" applyFont="1" applyFill="1"/>
    <xf numFmtId="165" fontId="0" fillId="8" borderId="0" xfId="0" applyNumberFormat="1" applyFill="1"/>
    <xf numFmtId="9" fontId="13" fillId="0" borderId="8" xfId="0" applyNumberFormat="1" applyFont="1" applyBorder="1"/>
    <xf numFmtId="9" fontId="13" fillId="0" borderId="9" xfId="0" applyNumberFormat="1" applyFont="1" applyBorder="1"/>
    <xf numFmtId="9" fontId="13" fillId="0" borderId="10" xfId="0" applyNumberFormat="1" applyFont="1" applyBorder="1"/>
    <xf numFmtId="10" fontId="0" fillId="0" borderId="0" xfId="0" applyNumberFormat="1"/>
    <xf numFmtId="166" fontId="0" fillId="0" borderId="0" xfId="0" applyNumberFormat="1"/>
    <xf numFmtId="1" fontId="7" fillId="0" borderId="0" xfId="0" applyNumberFormat="1" applyFont="1"/>
    <xf numFmtId="0" fontId="19" fillId="9" borderId="0" xfId="0" applyFont="1" applyFill="1" applyAlignment="1">
      <alignment horizontal="left"/>
    </xf>
    <xf numFmtId="0" fontId="10" fillId="10" borderId="0" xfId="0" applyFont="1" applyFill="1" applyAlignment="1">
      <alignment horizontal="left"/>
    </xf>
    <xf numFmtId="0" fontId="0" fillId="10" borderId="0" xfId="0" applyFill="1" applyAlignment="1">
      <alignment horizontal="left" indent="4"/>
    </xf>
    <xf numFmtId="3" fontId="0" fillId="10" borderId="0" xfId="0" applyNumberFormat="1" applyFill="1" applyAlignment="1">
      <alignment horizontal="right"/>
    </xf>
    <xf numFmtId="0" fontId="10" fillId="10" borderId="0" xfId="0" applyFont="1" applyFill="1" applyAlignment="1">
      <alignment horizontal="left" indent="6"/>
    </xf>
    <xf numFmtId="3" fontId="10" fillId="10" borderId="0" xfId="0" applyNumberFormat="1" applyFont="1" applyFill="1" applyAlignment="1">
      <alignment horizontal="right"/>
    </xf>
    <xf numFmtId="0" fontId="10" fillId="10" borderId="0" xfId="0" applyFont="1" applyFill="1" applyAlignment="1">
      <alignment horizontal="left" indent="3"/>
    </xf>
    <xf numFmtId="0" fontId="0" fillId="10" borderId="0" xfId="0" applyFill="1" applyAlignment="1">
      <alignment horizontal="left" indent="1"/>
    </xf>
    <xf numFmtId="0" fontId="0" fillId="10" borderId="0" xfId="0" applyFill="1" applyAlignment="1">
      <alignment horizontal="left" indent="7"/>
    </xf>
    <xf numFmtId="0" fontId="10" fillId="0" borderId="0" xfId="0" applyFont="1" applyAlignment="1">
      <alignment horizontal="left" indent="6"/>
    </xf>
    <xf numFmtId="3" fontId="11" fillId="10" borderId="0" xfId="0" applyNumberFormat="1" applyFont="1" applyFill="1" applyAlignment="1">
      <alignment horizontal="right"/>
    </xf>
    <xf numFmtId="4" fontId="11" fillId="0" borderId="0" xfId="0" applyNumberFormat="1" applyFont="1" applyAlignment="1">
      <alignment horizontal="right"/>
    </xf>
    <xf numFmtId="4" fontId="0" fillId="10" borderId="0" xfId="0" applyNumberFormat="1" applyFill="1" applyAlignment="1">
      <alignment horizontal="right"/>
    </xf>
    <xf numFmtId="4" fontId="11" fillId="10" borderId="0" xfId="0" applyNumberFormat="1" applyFont="1" applyFill="1" applyAlignment="1">
      <alignment horizontal="right"/>
    </xf>
    <xf numFmtId="166" fontId="13" fillId="0" borderId="0" xfId="0" applyNumberFormat="1" applyFont="1"/>
    <xf numFmtId="167" fontId="0" fillId="0" borderId="0" xfId="0" applyNumberFormat="1"/>
    <xf numFmtId="168" fontId="0" fillId="0" borderId="0" xfId="0" applyNumberFormat="1"/>
    <xf numFmtId="9" fontId="20" fillId="0" borderId="0" xfId="0" applyNumberFormat="1" applyFont="1"/>
    <xf numFmtId="0" fontId="20" fillId="0" borderId="0" xfId="0" applyFont="1"/>
    <xf numFmtId="10" fontId="20" fillId="0" borderId="0" xfId="0" applyNumberFormat="1" applyFont="1"/>
    <xf numFmtId="165" fontId="20" fillId="0" borderId="0" xfId="0" applyNumberFormat="1" applyFont="1"/>
    <xf numFmtId="166" fontId="7" fillId="0" borderId="0" xfId="0" applyNumberFormat="1" applyFont="1"/>
    <xf numFmtId="9" fontId="21" fillId="0" borderId="0" xfId="0" applyNumberFormat="1" applyFont="1"/>
    <xf numFmtId="0" fontId="7" fillId="0" borderId="8" xfId="0" applyFont="1" applyBorder="1"/>
    <xf numFmtId="166" fontId="7" fillId="0" borderId="10" xfId="0" applyNumberFormat="1" applyFont="1" applyBorder="1"/>
    <xf numFmtId="10" fontId="17" fillId="0" borderId="0" xfId="0" applyNumberFormat="1" applyFont="1"/>
    <xf numFmtId="165" fontId="7" fillId="0" borderId="3" xfId="0" applyNumberFormat="1" applyFont="1" applyBorder="1"/>
    <xf numFmtId="0" fontId="20" fillId="0" borderId="3" xfId="0" applyFont="1" applyBorder="1"/>
    <xf numFmtId="0" fontId="22" fillId="4" borderId="0" xfId="0" applyFont="1" applyFill="1"/>
    <xf numFmtId="0" fontId="23" fillId="4" borderId="0" xfId="0" applyFont="1" applyFill="1" applyAlignment="1">
      <alignment horizontal="center"/>
    </xf>
    <xf numFmtId="0" fontId="22" fillId="4" borderId="0" xfId="0" applyFont="1" applyFill="1" applyAlignment="1">
      <alignment horizontal="center"/>
    </xf>
    <xf numFmtId="0" fontId="23" fillId="0" borderId="2" xfId="0" applyFont="1" applyBorder="1"/>
    <xf numFmtId="0" fontId="23" fillId="8" borderId="2" xfId="0" applyFont="1" applyFill="1" applyBorder="1"/>
    <xf numFmtId="0" fontId="23" fillId="0" borderId="0" xfId="0" applyFont="1"/>
    <xf numFmtId="0" fontId="22" fillId="0" borderId="0" xfId="0" applyFont="1"/>
    <xf numFmtId="0" fontId="24" fillId="3" borderId="0" xfId="0" applyFont="1" applyFill="1"/>
    <xf numFmtId="0" fontId="23" fillId="4" borderId="0" xfId="0" applyFont="1" applyFill="1"/>
    <xf numFmtId="0" fontId="25" fillId="0" borderId="2" xfId="0" applyFont="1" applyBorder="1"/>
    <xf numFmtId="165" fontId="0" fillId="0" borderId="10" xfId="0" applyNumberFormat="1" applyBorder="1"/>
    <xf numFmtId="0" fontId="0" fillId="0" borderId="11" xfId="0" applyBorder="1"/>
    <xf numFmtId="0" fontId="0" fillId="4" borderId="7" xfId="0" applyFill="1" applyBorder="1"/>
    <xf numFmtId="0" fontId="23" fillId="4" borderId="7" xfId="0" applyFont="1" applyFill="1" applyBorder="1" applyAlignment="1">
      <alignment horizontal="center"/>
    </xf>
    <xf numFmtId="0" fontId="25" fillId="0" borderId="0" xfId="0" applyFont="1"/>
    <xf numFmtId="165" fontId="26" fillId="0" borderId="2" xfId="0" applyNumberFormat="1" applyFont="1" applyBorder="1" applyAlignment="1">
      <alignment horizontal="center"/>
    </xf>
    <xf numFmtId="167" fontId="26" fillId="0" borderId="2" xfId="0" applyNumberFormat="1" applyFont="1" applyBorder="1" applyAlignment="1">
      <alignment horizontal="center"/>
    </xf>
    <xf numFmtId="164" fontId="26" fillId="0" borderId="2" xfId="0" applyNumberFormat="1" applyFont="1" applyBorder="1" applyAlignment="1">
      <alignment horizontal="center"/>
    </xf>
    <xf numFmtId="167" fontId="26" fillId="0" borderId="12" xfId="0" applyNumberFormat="1" applyFont="1" applyBorder="1" applyAlignment="1">
      <alignment horizontal="center"/>
    </xf>
    <xf numFmtId="165" fontId="26" fillId="0" borderId="0" xfId="0" applyNumberFormat="1" applyFont="1" applyAlignment="1">
      <alignment horizontal="center"/>
    </xf>
    <xf numFmtId="167" fontId="26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67" fontId="26" fillId="0" borderId="7" xfId="0" applyNumberFormat="1" applyFont="1" applyBorder="1" applyAlignment="1">
      <alignment horizontal="center"/>
    </xf>
    <xf numFmtId="165" fontId="26" fillId="8" borderId="0" xfId="0" applyNumberFormat="1" applyFont="1" applyFill="1" applyAlignment="1">
      <alignment horizontal="center"/>
    </xf>
    <xf numFmtId="167" fontId="26" fillId="8" borderId="0" xfId="0" applyNumberFormat="1" applyFont="1" applyFill="1" applyAlignment="1">
      <alignment horizontal="center"/>
    </xf>
    <xf numFmtId="164" fontId="26" fillId="8" borderId="0" xfId="0" applyNumberFormat="1" applyFont="1" applyFill="1" applyAlignment="1">
      <alignment horizontal="center"/>
    </xf>
    <xf numFmtId="167" fontId="26" fillId="8" borderId="7" xfId="0" applyNumberFormat="1" applyFont="1" applyFill="1" applyBorder="1" applyAlignment="1">
      <alignment horizontal="center"/>
    </xf>
    <xf numFmtId="9" fontId="27" fillId="0" borderId="2" xfId="0" applyNumberFormat="1" applyFont="1" applyBorder="1" applyAlignment="1">
      <alignment horizontal="center"/>
    </xf>
    <xf numFmtId="9" fontId="27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0" fontId="26" fillId="0" borderId="2" xfId="0" applyNumberFormat="1" applyFont="1" applyBorder="1" applyAlignment="1">
      <alignment horizontal="center"/>
    </xf>
    <xf numFmtId="10" fontId="26" fillId="0" borderId="0" xfId="0" applyNumberFormat="1" applyFont="1" applyAlignment="1">
      <alignment horizontal="center"/>
    </xf>
    <xf numFmtId="170" fontId="23" fillId="0" borderId="0" xfId="0" applyNumberFormat="1" applyFont="1" applyAlignment="1">
      <alignment horizontal="center"/>
    </xf>
    <xf numFmtId="0" fontId="22" fillId="4" borderId="7" xfId="0" applyFont="1" applyFill="1" applyBorder="1" applyAlignment="1">
      <alignment horizontal="center"/>
    </xf>
    <xf numFmtId="0" fontId="23" fillId="8" borderId="12" xfId="0" applyFont="1" applyFill="1" applyBorder="1"/>
    <xf numFmtId="170" fontId="23" fillId="0" borderId="7" xfId="0" applyNumberFormat="1" applyFont="1" applyBorder="1" applyAlignment="1">
      <alignment horizontal="center"/>
    </xf>
    <xf numFmtId="169" fontId="0" fillId="0" borderId="0" xfId="0" applyNumberFormat="1"/>
    <xf numFmtId="170" fontId="22" fillId="0" borderId="0" xfId="0" applyNumberFormat="1" applyFont="1" applyAlignment="1">
      <alignment horizontal="center"/>
    </xf>
    <xf numFmtId="170" fontId="22" fillId="0" borderId="7" xfId="0" applyNumberFormat="1" applyFont="1" applyBorder="1" applyAlignment="1">
      <alignment horizontal="center"/>
    </xf>
    <xf numFmtId="170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center"/>
    </xf>
    <xf numFmtId="171" fontId="23" fillId="0" borderId="0" xfId="0" applyNumberFormat="1" applyFont="1" applyAlignment="1">
      <alignment horizontal="center"/>
    </xf>
    <xf numFmtId="0" fontId="29" fillId="4" borderId="0" xfId="0" applyFont="1" applyFill="1" applyAlignment="1">
      <alignment horizontal="centerContinuous"/>
    </xf>
    <xf numFmtId="0" fontId="30" fillId="4" borderId="0" xfId="0" applyFont="1" applyFill="1" applyAlignment="1">
      <alignment horizontal="centerContinuous"/>
    </xf>
    <xf numFmtId="0" fontId="25" fillId="4" borderId="0" xfId="0" applyFont="1" applyFill="1" applyAlignment="1">
      <alignment horizontal="center"/>
    </xf>
    <xf numFmtId="167" fontId="23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5" fontId="26" fillId="0" borderId="13" xfId="0" applyNumberFormat="1" applyFont="1" applyBorder="1" applyAlignment="1">
      <alignment horizontal="center"/>
    </xf>
    <xf numFmtId="167" fontId="26" fillId="0" borderId="13" xfId="0" applyNumberFormat="1" applyFont="1" applyBorder="1" applyAlignment="1">
      <alignment horizontal="center"/>
    </xf>
    <xf numFmtId="10" fontId="26" fillId="0" borderId="13" xfId="0" applyNumberFormat="1" applyFont="1" applyBorder="1" applyAlignment="1">
      <alignment horizontal="center"/>
    </xf>
    <xf numFmtId="9" fontId="27" fillId="0" borderId="13" xfId="0" applyNumberFormat="1" applyFont="1" applyBorder="1" applyAlignment="1">
      <alignment horizontal="center"/>
    </xf>
    <xf numFmtId="164" fontId="26" fillId="0" borderId="13" xfId="0" applyNumberFormat="1" applyFont="1" applyBorder="1" applyAlignment="1">
      <alignment horizontal="center"/>
    </xf>
    <xf numFmtId="167" fontId="26" fillId="0" borderId="14" xfId="0" applyNumberFormat="1" applyFont="1" applyBorder="1" applyAlignment="1">
      <alignment horizontal="center"/>
    </xf>
    <xf numFmtId="170" fontId="23" fillId="0" borderId="13" xfId="0" applyNumberFormat="1" applyFont="1" applyBorder="1" applyAlignment="1">
      <alignment horizontal="center"/>
    </xf>
    <xf numFmtId="170" fontId="23" fillId="0" borderId="14" xfId="0" applyNumberFormat="1" applyFont="1" applyBorder="1" applyAlignment="1">
      <alignment horizontal="center"/>
    </xf>
    <xf numFmtId="165" fontId="27" fillId="0" borderId="0" xfId="0" applyNumberFormat="1" applyFont="1" applyAlignment="1">
      <alignment horizontal="center"/>
    </xf>
    <xf numFmtId="167" fontId="27" fillId="0" borderId="0" xfId="0" applyNumberFormat="1" applyFont="1" applyAlignment="1">
      <alignment horizontal="center"/>
    </xf>
    <xf numFmtId="10" fontId="27" fillId="0" borderId="0" xfId="0" applyNumberFormat="1" applyFont="1" applyAlignment="1">
      <alignment horizontal="center"/>
    </xf>
    <xf numFmtId="164" fontId="27" fillId="0" borderId="0" xfId="0" applyNumberFormat="1" applyFont="1" applyAlignment="1">
      <alignment horizontal="center"/>
    </xf>
    <xf numFmtId="167" fontId="27" fillId="0" borderId="7" xfId="0" applyNumberFormat="1" applyFont="1" applyBorder="1" applyAlignment="1">
      <alignment horizontal="center"/>
    </xf>
    <xf numFmtId="172" fontId="27" fillId="0" borderId="0" xfId="0" applyNumberFormat="1" applyFont="1" applyAlignment="1">
      <alignment horizontal="center"/>
    </xf>
    <xf numFmtId="0" fontId="30" fillId="4" borderId="7" xfId="0" applyFont="1" applyFill="1" applyBorder="1" applyAlignment="1">
      <alignment horizontal="centerContinuous"/>
    </xf>
    <xf numFmtId="0" fontId="25" fillId="4" borderId="7" xfId="0" applyFont="1" applyFill="1" applyBorder="1" applyAlignment="1">
      <alignment horizontal="center"/>
    </xf>
    <xf numFmtId="2" fontId="25" fillId="0" borderId="7" xfId="0" applyNumberFormat="1" applyFont="1" applyBorder="1" applyAlignment="1">
      <alignment horizontal="center"/>
    </xf>
    <xf numFmtId="173" fontId="23" fillId="0" borderId="0" xfId="0" applyNumberFormat="1" applyFont="1"/>
    <xf numFmtId="14" fontId="28" fillId="0" borderId="0" xfId="0" applyNumberFormat="1" applyFont="1"/>
    <xf numFmtId="173" fontId="28" fillId="0" borderId="0" xfId="0" applyNumberFormat="1" applyFont="1"/>
    <xf numFmtId="0" fontId="22" fillId="4" borderId="0" xfId="0" applyFont="1" applyFill="1" applyAlignment="1">
      <alignment horizontal="left"/>
    </xf>
    <xf numFmtId="0" fontId="23" fillId="0" borderId="0" xfId="0" applyFont="1" applyAlignment="1">
      <alignment horizontal="left"/>
    </xf>
    <xf numFmtId="14" fontId="28" fillId="0" borderId="0" xfId="0" applyNumberFormat="1" applyFont="1" applyAlignment="1">
      <alignment horizontal="left"/>
    </xf>
    <xf numFmtId="173" fontId="0" fillId="0" borderId="0" xfId="0" applyNumberFormat="1"/>
    <xf numFmtId="173" fontId="0" fillId="0" borderId="7" xfId="0" applyNumberFormat="1" applyBorder="1"/>
    <xf numFmtId="173" fontId="0" fillId="0" borderId="2" xfId="0" applyNumberFormat="1" applyBorder="1"/>
    <xf numFmtId="173" fontId="0" fillId="0" borderId="12" xfId="0" applyNumberFormat="1" applyBorder="1"/>
    <xf numFmtId="0" fontId="7" fillId="0" borderId="15" xfId="0" applyFont="1" applyBorder="1"/>
    <xf numFmtId="0" fontId="14" fillId="0" borderId="11" xfId="0" applyFont="1" applyBorder="1"/>
    <xf numFmtId="0" fontId="14" fillId="0" borderId="18" xfId="0" applyFont="1" applyBorder="1"/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8" borderId="0" xfId="0" applyFill="1"/>
    <xf numFmtId="165" fontId="31" fillId="8" borderId="0" xfId="0" applyNumberFormat="1" applyFont="1" applyFill="1" applyAlignment="1">
      <alignment horizontal="centerContinuous"/>
    </xf>
    <xf numFmtId="165" fontId="33" fillId="8" borderId="0" xfId="0" applyNumberFormat="1" applyFont="1" applyFill="1" applyAlignment="1">
      <alignment horizontal="centerContinuous"/>
    </xf>
    <xf numFmtId="10" fontId="0" fillId="11" borderId="2" xfId="0" applyNumberFormat="1" applyFill="1" applyBorder="1" applyAlignment="1">
      <alignment horizontal="center"/>
    </xf>
    <xf numFmtId="10" fontId="0" fillId="11" borderId="7" xfId="0" applyNumberFormat="1" applyFill="1" applyBorder="1"/>
    <xf numFmtId="174" fontId="0" fillId="11" borderId="0" xfId="0" applyNumberFormat="1" applyFill="1"/>
    <xf numFmtId="0" fontId="32" fillId="8" borderId="0" xfId="0" applyFont="1" applyFill="1"/>
    <xf numFmtId="0" fontId="7" fillId="0" borderId="16" xfId="0" applyFont="1" applyBorder="1"/>
    <xf numFmtId="0" fontId="7" fillId="0" borderId="17" xfId="0" applyFont="1" applyBorder="1"/>
    <xf numFmtId="175" fontId="0" fillId="0" borderId="0" xfId="0" applyNumberFormat="1"/>
    <xf numFmtId="0" fontId="0" fillId="0" borderId="18" xfId="0" applyBorder="1"/>
    <xf numFmtId="175" fontId="0" fillId="0" borderId="2" xfId="0" applyNumberFormat="1" applyBorder="1"/>
  </cellXfs>
  <cellStyles count="2">
    <cellStyle name="Normal" xfId="0" builtinId="0"/>
    <cellStyle name="Note" xfId="1" builtinId="10"/>
  </cellStyles>
  <dxfs count="8"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C9C9C9"/>
      <color rgb="FFFFFFFF"/>
      <color rgb="FF747474"/>
      <color rgb="FF000000"/>
      <color rgb="FF0432FF"/>
      <color rgb="FF05B050"/>
      <color rgb="FF0E2741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ichStyles" Target="richData/richStyles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Array" Target="richData/rdarray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20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microsoft.com/office/2017/06/relationships/rdSupportingPropertyBagStructure" Target="richData/rdsupportingpropertybag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Summary!$D$16</c:f>
              <c:strCache>
                <c:ptCount val="1"/>
                <c:pt idx="0">
                  <c:v>Min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Summary!$C$17:$C$22</c:f>
              <c:strCache>
                <c:ptCount val="6"/>
                <c:pt idx="0">
                  <c:v>DCF</c:v>
                </c:pt>
                <c:pt idx="1">
                  <c:v>EV / Revenue</c:v>
                </c:pt>
                <c:pt idx="2">
                  <c:v>EV / EBITDA</c:v>
                </c:pt>
                <c:pt idx="3">
                  <c:v>P / Sales</c:v>
                </c:pt>
                <c:pt idx="4">
                  <c:v>P / E</c:v>
                </c:pt>
                <c:pt idx="5">
                  <c:v>52-wk Range</c:v>
                </c:pt>
              </c:strCache>
            </c:strRef>
          </c:cat>
          <c:val>
            <c:numRef>
              <c:f>Summary!$D$17:$D$22</c:f>
              <c:numCache>
                <c:formatCode>_([$$-409]* #,##0.00_);_([$$-409]* \(#,##0.00\);_([$$-409]* "-"??_);_(@_)</c:formatCode>
                <c:ptCount val="6"/>
                <c:pt idx="0">
                  <c:v>209</c:v>
                </c:pt>
                <c:pt idx="1">
                  <c:v>-23.458141174288063</c:v>
                </c:pt>
                <c:pt idx="2">
                  <c:v>226.1772606484443</c:v>
                </c:pt>
                <c:pt idx="3">
                  <c:v>27.8888038546277</c:v>
                </c:pt>
                <c:pt idx="4">
                  <c:v>403.00182193876896</c:v>
                </c:pt>
                <c:pt idx="5">
                  <c:v>299.45499999999998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C-484B-A731-869C81EDE713}"/>
            </c:ext>
          </c:extLst>
        </c:ser>
        <c:ser>
          <c:idx val="1"/>
          <c:order val="1"/>
          <c:tx>
            <c:strRef>
              <c:f>Summary!$E$16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Summary!$C$17:$C$22</c:f>
              <c:strCache>
                <c:ptCount val="6"/>
                <c:pt idx="0">
                  <c:v>DCF</c:v>
                </c:pt>
                <c:pt idx="1">
                  <c:v>EV / Revenue</c:v>
                </c:pt>
                <c:pt idx="2">
                  <c:v>EV / EBITDA</c:v>
                </c:pt>
                <c:pt idx="3">
                  <c:v>P / Sales</c:v>
                </c:pt>
                <c:pt idx="4">
                  <c:v>P / E</c:v>
                </c:pt>
                <c:pt idx="5">
                  <c:v>52-wk Range</c:v>
                </c:pt>
              </c:strCache>
            </c:strRef>
          </c:cat>
          <c:val>
            <c:numRef>
              <c:f>Summary!$E$17:$E$22</c:f>
              <c:numCache>
                <c:formatCode>_-[$$-409]* #,##0.00_ ;_-[$$-409]* \-#,##0.00\ ;_-[$$-409]* "-"??_ ;_-@_ </c:formatCode>
                <c:ptCount val="6"/>
                <c:pt idx="0">
                  <c:v>234</c:v>
                </c:pt>
                <c:pt idx="1">
                  <c:v>104.35136596661856</c:v>
                </c:pt>
                <c:pt idx="2">
                  <c:v>198.0287839189707</c:v>
                </c:pt>
                <c:pt idx="3">
                  <c:v>83.620554989621283</c:v>
                </c:pt>
                <c:pt idx="4">
                  <c:v>88.051327012812351</c:v>
                </c:pt>
                <c:pt idx="5">
                  <c:v>11.942500000000052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C-484B-A731-869C81EDE713}"/>
            </c:ext>
          </c:extLst>
        </c:ser>
        <c:ser>
          <c:idx val="2"/>
          <c:order val="2"/>
          <c:tx>
            <c:strRef>
              <c:f>Summary!$F$16</c:f>
              <c:strCache>
                <c:ptCount val="1"/>
                <c:pt idx="0">
                  <c:v>Max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Summary!$C$17:$C$22</c:f>
              <c:strCache>
                <c:ptCount val="6"/>
                <c:pt idx="0">
                  <c:v>DCF</c:v>
                </c:pt>
                <c:pt idx="1">
                  <c:v>EV / Revenue</c:v>
                </c:pt>
                <c:pt idx="2">
                  <c:v>EV / EBITDA</c:v>
                </c:pt>
                <c:pt idx="3">
                  <c:v>P / Sales</c:v>
                </c:pt>
                <c:pt idx="4">
                  <c:v>P / E</c:v>
                </c:pt>
                <c:pt idx="5">
                  <c:v>52-wk Range</c:v>
                </c:pt>
              </c:strCache>
            </c:strRef>
          </c:cat>
          <c:val>
            <c:numRef>
              <c:f>Summary!$F$17:$F$22</c:f>
              <c:numCache>
                <c:formatCode>_([$$-409]* #,##0.00_);_([$$-409]* \(#,##0.00\);_([$$-409]* "-"??_);_(@_)</c:formatCode>
                <c:ptCount val="6"/>
                <c:pt idx="0">
                  <c:v>443</c:v>
                </c:pt>
                <c:pt idx="1">
                  <c:v>80.8932247923305</c:v>
                </c:pt>
                <c:pt idx="2">
                  <c:v>424.20604456741501</c:v>
                </c:pt>
                <c:pt idx="3">
                  <c:v>111.50935884424898</c:v>
                </c:pt>
                <c:pt idx="4">
                  <c:v>491.05314895158131</c:v>
                </c:pt>
                <c:pt idx="5">
                  <c:v>311.39750000000004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3C-484B-A731-869C81EDE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3977456"/>
        <c:axId val="764838511"/>
      </c:barChart>
      <c:catAx>
        <c:axId val="144397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764838511"/>
        <c:crosses val="autoZero"/>
        <c:auto val="1"/>
        <c:lblAlgn val="ctr"/>
        <c:lblOffset val="100"/>
        <c:noMultiLvlLbl val="0"/>
      </c:catAx>
      <c:valAx>
        <c:axId val="764838511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44397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248920</xdr:colOff>
      <xdr:row>15</xdr:row>
      <xdr:rowOff>5080</xdr:rowOff>
    </xdr:from>
    <xdr:to>
      <xdr:col>12</xdr:col>
      <xdr:colOff>294640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528AB3-D026-EAC9-A530-BBE93EF57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873760</xdr:colOff>
      <xdr:row>19</xdr:row>
      <xdr:rowOff>121920</xdr:rowOff>
    </xdr:from>
    <xdr:to>
      <xdr:col>12</xdr:col>
      <xdr:colOff>223520</xdr:colOff>
      <xdr:row>19</xdr:row>
      <xdr:rowOff>121920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D19CFE1-C7B0-FC28-752B-A7AC0563C76D}"/>
            </a:ext>
          </a:extLst>
        </xdr:cNvPr>
        <xdr:cNvCxnSpPr/>
      </xdr:nvCxnSpPr>
      <xdr:spPr>
        <a:xfrm>
          <a:off x="5496560" y="4124960"/>
          <a:ext cx="48971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250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  <v t="i">314</v>
    <v t="i">315</v>
    <v t="i">316</v>
    <v t="i">317</v>
    <v t="i">320</v>
    <v t="i">321</v>
    <v t="i">322</v>
    <v t="i">323</v>
    <v t="i">324</v>
    <v t="i">327</v>
    <v t="i">328</v>
    <v t="i">329</v>
    <v t="i">331</v>
    <v t="i">334</v>
    <v t="i">335</v>
    <v t="i">336</v>
    <v t="i">337</v>
    <v t="i">338</v>
    <v t="i">341</v>
    <v t="i">342</v>
    <v t="i">343</v>
    <v t="i">344</v>
    <v t="i">345</v>
    <v t="i">348</v>
    <v t="i">349</v>
    <v t="i">350</v>
    <v t="i">351</v>
    <v t="i">352</v>
    <v t="i">355</v>
    <v t="i">356</v>
    <v t="i">357</v>
    <v t="i">359</v>
    <v t="i">362</v>
    <v t="i">363</v>
    <v t="i">364</v>
  </a>
  <a r="1" c="250">
    <v>292.51</v>
    <v>294.77999999999997</v>
    <v>292.18</v>
    <v>289.33999999999997</v>
    <v>286.89999999999998</v>
    <v>282.31</v>
    <v>283.63</v>
    <v>281.58</v>
    <v>282.3</v>
    <v>279.74</v>
    <v>280.95</v>
    <v>282.61</v>
    <v>281.35000000000002</v>
    <v>284.43</v>
    <v>285.45999999999998</v>
    <v>293.08999999999997</v>
    <v>291.14999999999998</v>
    <v>290.11</v>
    <v>290.32</v>
    <v>288.7</v>
    <v>290.05</v>
    <v>289.77</v>
    <v>288.83</v>
    <v>294.36</v>
    <v>294.3</v>
    <v>308.42</v>
    <v>310.20999999999998</v>
    <v>307.60000000000002</v>
    <v>310.02</v>
    <v>308.55</v>
    <v>304.83</v>
    <v>301.94</v>
    <v>303.05</v>
    <v>304.81</v>
    <v>307.57</v>
    <v>310.72000000000003</v>
    <v>304.27</v>
    <v>309.95</v>
    <v>308.33</v>
    <v>304.29000000000002</v>
    <v>305.77</v>
    <v>307.45</v>
    <v>310.37</v>
    <v>321.29000000000002</v>
    <v>317.25</v>
    <v>306.76</v>
    <v>299.39999999999998</v>
    <v>297.5</v>
    <v>299.83</v>
    <v>303.97000000000003</v>
    <v>303.60000000000002</v>
    <v>306.92</v>
    <v>307</v>
    <v>305.44</v>
    <v>305.67</v>
    <v>306.92</v>
    <v>313.58</v>
    <v>312.69</v>
    <v>307.08999999999997</v>
    <v>312.37</v>
    <v>313.63</v>
    <v>311.58</v>
    <v>318.27</v>
    <v>300.11</v>
    <v>299.89</v>
    <v>299.83</v>
    <v>303.95999999999998</v>
    <v>306.77999999999997</v>
    <v>309.89999999999998</v>
    <v>316.07</v>
    <v>312.48</v>
    <v>309.10000000000002</v>
    <v>311.3</v>
    <v>308.72000000000003</v>
    <v>319.08</v>
    <v>318.48</v>
    <v>316.22000000000003</v>
    <v>316.74</v>
    <v>316.81</v>
    <v>314.5</v>
    <v>319.64999999999998</v>
    <v>313.64</v>
    <v>311.95999999999998</v>
    <v>315.72000000000003</v>
    <v>316.79000000000002</v>
    <v>318.13</v>
    <v>313.49</v>
    <v>313.68</v>
    <v>311.92</v>
    <v>308.69</v>
    <v>307.5</v>
    <v>314.48</v>
    <v>318.61</v>
    <v>321.23</v>
    <v>319.8</v>
    <v>316.44</v>
    <v>314.31</v>
    <v>314.57</v>
    <v>314.95</v>
    <v>312.83999999999997</v>
    <v>311.86</v>
    <v>313.85000000000002</v>
    <v>312.68</v>
    <v>312.39</v>
    <v>311.57</v>
    <v>308.98</v>
    <v>307.36</v>
    <v>304.77999999999997</v>
    <v>300.43</v>
    <v>301.72000000000003</v>
    <v>303.16000000000003</v>
    <v>301.91000000000003</v>
    <v>296.29000000000002</v>
    <v>292.31</v>
    <v>289.63</v>
    <v>287.45999999999998</v>
    <v>289.52</v>
    <v>291.47000000000003</v>
    <v>285.55</v>
    <v>285.63</v>
    <v>291.55</v>
    <v>292.17</v>
    <v>297.49</v>
    <v>294.63</v>
    <v>294.08</v>
    <v>293.52999999999997</v>
    <v>291.67</v>
    <v>293.02</v>
    <v>298.39</v>
    <v>299.91000000000003</v>
    <v>301.88</v>
    <v>299.62</v>
    <v>298.89999999999998</v>
    <v>300.37</v>
    <v>297.07</v>
    <v>295.74</v>
    <v>299.17</v>
    <v>298.12</v>
    <v>294.48</v>
    <v>298.47000000000003</v>
    <v>299.22000000000003</v>
    <v>302.67</v>
    <v>303.61</v>
    <v>300.07</v>
    <v>302.89</v>
    <v>304.23</v>
    <v>298.77</v>
    <v>307.66000000000003</v>
    <v>307.91000000000003</v>
    <v>305.45</v>
    <v>304.36</v>
    <v>301.64</v>
    <v>305.07</v>
    <v>308.95</v>
    <v>308.93</v>
    <v>308.7</v>
    <v>310.93</v>
    <v>313.08</v>
    <v>313.22000000000003</v>
    <v>314.07</v>
    <v>313.44</v>
    <v>312.94</v>
    <v>311.43</v>
    <v>312.22000000000003</v>
    <v>313.54000000000002</v>
    <v>315.76</v>
    <v>316.39</v>
    <v>316.99</v>
    <v>314.38</v>
    <v>312.8</v>
    <v>312.52</v>
    <v>305.94</v>
    <v>308.43</v>
    <v>305.39999999999998</v>
    <v>302.07</v>
    <v>303.29000000000002</v>
    <v>304.97000000000003</v>
    <v>301.14</v>
    <v>302.38</v>
    <v>302.99</v>
    <v>303.19</v>
    <v>304.33</v>
    <v>302.3</v>
    <v>305.24</v>
    <v>302.99</v>
    <v>303.89</v>
    <v>300.52</v>
    <v>299.88</v>
    <v>300.98</v>
    <v>296.04000000000002</v>
    <v>296.32</v>
    <v>294.39999999999998</v>
    <v>293.81</v>
    <v>297.01</v>
    <v>300.11</v>
    <v>304.56</v>
    <v>305.25</v>
    <v>305.33</v>
    <v>308.08999999999997</v>
    <v>307.77</v>
    <v>307.48</v>
    <v>310.11</v>
    <v>306.97000000000003</v>
    <v>305.79000000000002</v>
    <v>310</v>
    <v>306.39999999999998</v>
    <v>302.35000000000002</v>
    <v>302.43</v>
    <v>298.43</v>
    <v>296.37</v>
    <v>299.20999999999998</v>
    <v>305.67</v>
    <v>298.41000000000003</v>
    <v>299.66000000000003</v>
    <v>299.10000000000002</v>
    <v>306.83</v>
    <v>306.94</v>
    <v>307.58</v>
    <v>307.02999999999997</v>
    <v>304.89999999999998</v>
    <v>304.58999999999997</v>
    <v>302.74</v>
    <v>304.16000000000003</v>
    <v>309.35000000000002</v>
    <v>304.89999999999998</v>
    <v>310.45</v>
    <v>312.39999999999998</v>
    <v>311.82</v>
    <v>303.57</v>
    <v>300.72000000000003</v>
    <v>307.70999999999998</v>
    <v>308.54000000000002</v>
    <v>311.23</v>
    <v>309.79000000000002</v>
    <v>310.79000000000002</v>
    <v>310.52999999999997</v>
    <v>309.70999999999998</v>
    <v>316.72000000000003</v>
    <v>318.73</v>
    <v>314.5</v>
    <v>318.69</v>
    <v>319.64999999999998</v>
    <v>315.83999999999997</v>
    <v>316.22000000000003</v>
    <v>310.83999999999997</v>
    <v>313.33</v>
    <v>310.68</v>
    <v>308.52999999999997</v>
    <v>308.02999999999997</v>
    <v>305.63</v>
  </a>
</arrayData>
</file>

<file path=xl/richData/rdrichvalue.xml><?xml version="1.0" encoding="utf-8"?>
<rvData xmlns="http://schemas.microsoft.com/office/spreadsheetml/2017/richdata" count="492">
  <rv s="0">
    <fb>45659</fb>
    <v>0</v>
  </rv>
  <rv s="0">
    <fb>292.51</fb>
    <v>1</v>
  </rv>
  <rv s="0">
    <fb>45660</fb>
    <v>0</v>
  </rv>
  <rv s="0">
    <fb>294.77999999999997</fb>
    <v>1</v>
  </rv>
  <rv s="0">
    <fb>45663</fb>
    <v>0</v>
  </rv>
  <rv s="0">
    <fb>292.18</fb>
    <v>1</v>
  </rv>
  <rv s="0">
    <fb>45664</fb>
    <v>0</v>
  </rv>
  <rv s="0">
    <fb>289.33999999999997</fb>
    <v>1</v>
  </rv>
  <rv s="0">
    <fb>45665</fb>
    <v>0</v>
  </rv>
  <rv s="0">
    <fb>286.89999999999998</fb>
    <v>1</v>
  </rv>
  <rv s="0">
    <fb>45667</fb>
    <v>0</v>
  </rv>
  <rv s="0">
    <fb>282.31</fb>
    <v>1</v>
  </rv>
  <rv s="0">
    <fb>45670</fb>
    <v>0</v>
  </rv>
  <rv s="0">
    <fb>283.63</fb>
    <v>1</v>
  </rv>
  <rv s="0">
    <fb>45671</fb>
    <v>0</v>
  </rv>
  <rv s="0">
    <fb>281.58</fb>
    <v>1</v>
  </rv>
  <rv s="0">
    <fb>45672</fb>
    <v>0</v>
  </rv>
  <rv s="0">
    <fb>282.3</fb>
    <v>1</v>
  </rv>
  <rv s="0">
    <fb>45673</fb>
    <v>0</v>
  </rv>
  <rv s="0">
    <fb>279.74</fb>
    <v>1</v>
  </rv>
  <rv s="0">
    <fb>45674</fb>
    <v>0</v>
  </rv>
  <rv s="0">
    <fb>280.95</fb>
    <v>1</v>
  </rv>
  <rv s="0">
    <fb>45678</fb>
    <v>0</v>
  </rv>
  <rv s="0">
    <fb>282.61</fb>
    <v>1</v>
  </rv>
  <rv s="0">
    <fb>45679</fb>
    <v>0</v>
  </rv>
  <rv s="0">
    <fb>281.35000000000002</fb>
    <v>1</v>
  </rv>
  <rv s="0">
    <fb>45680</fb>
    <v>0</v>
  </rv>
  <rv s="0">
    <fb>284.43</fb>
    <v>1</v>
  </rv>
  <rv s="0">
    <fb>45681</fb>
    <v>0</v>
  </rv>
  <rv s="0">
    <fb>285.45999999999998</fb>
    <v>1</v>
  </rv>
  <rv s="0">
    <fb>45684</fb>
    <v>0</v>
  </rv>
  <rv s="0">
    <fb>293.08999999999997</fb>
    <v>1</v>
  </rv>
  <rv s="0">
    <fb>45685</fb>
    <v>0</v>
  </rv>
  <rv s="0">
    <fb>291.14999999999998</fb>
    <v>1</v>
  </rv>
  <rv s="0">
    <fb>45686</fb>
    <v>0</v>
  </rv>
  <rv s="0">
    <fb>290.11</fb>
    <v>1</v>
  </rv>
  <rv s="0">
    <fb>45687</fb>
    <v>0</v>
  </rv>
  <rv s="0">
    <fb>290.32</fb>
    <v>1</v>
  </rv>
  <rv s="0">
    <fb>45688</fb>
    <v>0</v>
  </rv>
  <rv s="0">
    <fb>288.7</fb>
    <v>1</v>
  </rv>
  <rv s="0">
    <fb>45691</fb>
    <v>0</v>
  </rv>
  <rv s="0">
    <fb>290.05</fb>
    <v>1</v>
  </rv>
  <rv s="0">
    <fb>45692</fb>
    <v>0</v>
  </rv>
  <rv s="0">
    <fb>289.77</fb>
    <v>1</v>
  </rv>
  <rv s="0">
    <fb>45693</fb>
    <v>0</v>
  </rv>
  <rv s="0">
    <fb>288.83</fb>
    <v>1</v>
  </rv>
  <rv s="0">
    <fb>45694</fb>
    <v>0</v>
  </rv>
  <rv s="0">
    <fb>294.36</fb>
    <v>1</v>
  </rv>
  <rv s="0">
    <fb>45695</fb>
    <v>0</v>
  </rv>
  <rv s="0">
    <fb>294.3</fb>
    <v>1</v>
  </rv>
  <rv s="0">
    <fb>45698</fb>
    <v>0</v>
  </rv>
  <rv s="0">
    <fb>308.42</fb>
    <v>1</v>
  </rv>
  <rv s="0">
    <fb>45699</fb>
    <v>0</v>
  </rv>
  <rv s="0">
    <fb>310.20999999999998</fb>
    <v>1</v>
  </rv>
  <rv s="0">
    <fb>45700</fb>
    <v>0</v>
  </rv>
  <rv s="0">
    <fb>307.60000000000002</fb>
    <v>1</v>
  </rv>
  <rv s="0">
    <fb>45701</fb>
    <v>0</v>
  </rv>
  <rv s="0">
    <fb>310.02</fb>
    <v>1</v>
  </rv>
  <rv s="0">
    <fb>45702</fb>
    <v>0</v>
  </rv>
  <rv s="0">
    <fb>308.55</fb>
    <v>1</v>
  </rv>
  <rv s="0">
    <fb>45706</fb>
    <v>0</v>
  </rv>
  <rv s="0">
    <fb>304.83</fb>
    <v>1</v>
  </rv>
  <rv s="0">
    <fb>45707</fb>
    <v>0</v>
  </rv>
  <rv s="0">
    <fb>301.94</fb>
    <v>1</v>
  </rv>
  <rv s="0">
    <fb>45708</fb>
    <v>0</v>
  </rv>
  <rv s="0">
    <fb>303.05</fb>
    <v>1</v>
  </rv>
  <rv s="0">
    <fb>45709</fb>
    <v>0</v>
  </rv>
  <rv s="0">
    <fb>304.81</fb>
    <v>1</v>
  </rv>
  <rv s="0">
    <fb>45712</fb>
    <v>0</v>
  </rv>
  <rv s="0">
    <fb>307.57</fb>
    <v>1</v>
  </rv>
  <rv s="0">
    <fb>45713</fb>
    <v>0</v>
  </rv>
  <rv s="0">
    <fb>310.72000000000003</fb>
    <v>1</v>
  </rv>
  <rv s="0">
    <fb>45714</fb>
    <v>0</v>
  </rv>
  <rv s="0">
    <fb>304.27</fb>
    <v>1</v>
  </rv>
  <rv s="0">
    <fb>45715</fb>
    <v>0</v>
  </rv>
  <rv s="0">
    <fb>309.95</fb>
    <v>1</v>
  </rv>
  <rv s="0">
    <fb>45716</fb>
    <v>0</v>
  </rv>
  <rv s="0">
    <fb>308.33</fb>
    <v>1</v>
  </rv>
  <rv s="0">
    <fb>45719</fb>
    <v>0</v>
  </rv>
  <rv s="0">
    <fb>304.29000000000002</fb>
    <v>1</v>
  </rv>
  <rv s="0">
    <fb>45720</fb>
    <v>0</v>
  </rv>
  <rv s="0">
    <fb>305.77</fb>
    <v>1</v>
  </rv>
  <rv s="0">
    <fb>45721</fb>
    <v>0</v>
  </rv>
  <rv s="0">
    <fb>307.45</fb>
    <v>1</v>
  </rv>
  <rv s="0">
    <fb>45722</fb>
    <v>0</v>
  </rv>
  <rv s="0">
    <fb>310.37</fb>
    <v>1</v>
  </rv>
  <rv s="0">
    <fb>45723</fb>
    <v>0</v>
  </rv>
  <rv s="0">
    <fb>321.29000000000002</fb>
    <v>1</v>
  </rv>
  <rv s="0">
    <fb>45726</fb>
    <v>0</v>
  </rv>
  <rv s="0">
    <fb>317.25</fb>
    <v>1</v>
  </rv>
  <rv s="0">
    <fb>45727</fb>
    <v>0</v>
  </rv>
  <rv s="0">
    <fb>306.76</fb>
    <v>1</v>
  </rv>
  <rv s="0">
    <fb>45728</fb>
    <v>0</v>
  </rv>
  <rv s="0">
    <fb>299.39999999999998</fb>
    <v>1</v>
  </rv>
  <rv s="0">
    <fb>45729</fb>
    <v>0</v>
  </rv>
  <rv s="0">
    <fb>297.5</fb>
    <v>1</v>
  </rv>
  <rv s="0">
    <fb>45730</fb>
    <v>0</v>
  </rv>
  <rv s="0">
    <fb>299.83</fb>
    <v>1</v>
  </rv>
  <rv s="0">
    <fb>45733</fb>
    <v>0</v>
  </rv>
  <rv s="0">
    <fb>303.97000000000003</fb>
    <v>1</v>
  </rv>
  <rv s="0">
    <fb>45734</fb>
    <v>0</v>
  </rv>
  <rv s="0">
    <fb>303.60000000000002</fb>
    <v>1</v>
  </rv>
  <rv s="0">
    <fb>45735</fb>
    <v>0</v>
  </rv>
  <rv s="0">
    <fb>306.92</fb>
    <v>1</v>
  </rv>
  <rv s="0">
    <fb>45736</fb>
    <v>0</v>
  </rv>
  <rv s="0">
    <fb>307</fb>
    <v>1</v>
  </rv>
  <rv s="0">
    <fb>45737</fb>
    <v>0</v>
  </rv>
  <rv s="0">
    <fb>305.44</fb>
    <v>1</v>
  </rv>
  <rv s="0">
    <fb>45740</fb>
    <v>0</v>
  </rv>
  <rv s="0">
    <fb>305.67</fb>
    <v>1</v>
  </rv>
  <rv s="0">
    <fb>45741</fb>
    <v>0</v>
  </rv>
  <rv s="0">
    <fb>45742</fb>
    <v>0</v>
  </rv>
  <rv s="0">
    <fb>313.58</fb>
    <v>1</v>
  </rv>
  <rv s="0">
    <fb>45743</fb>
    <v>0</v>
  </rv>
  <rv s="0">
    <fb>312.69</fb>
    <v>1</v>
  </rv>
  <rv s="0">
    <fb>45744</fb>
    <v>0</v>
  </rv>
  <rv s="0">
    <fb>307.08999999999997</fb>
    <v>1</v>
  </rv>
  <rv s="0">
    <fb>45747</fb>
    <v>0</v>
  </rv>
  <rv s="0">
    <fb>312.37</fb>
    <v>1</v>
  </rv>
  <rv s="0">
    <fb>45748</fb>
    <v>0</v>
  </rv>
  <rv s="0">
    <fb>313.63</fb>
    <v>1</v>
  </rv>
  <rv s="0">
    <fb>45749</fb>
    <v>0</v>
  </rv>
  <rv s="0">
    <fb>311.58</fb>
    <v>1</v>
  </rv>
  <rv s="0">
    <fb>45750</fb>
    <v>0</v>
  </rv>
  <rv s="0">
    <fb>318.27</fb>
    <v>1</v>
  </rv>
  <rv s="0">
    <fb>45751</fb>
    <v>0</v>
  </rv>
  <rv s="0">
    <fb>300.11</fb>
    <v>1</v>
  </rv>
  <rv s="0">
    <fb>45754</fb>
    <v>0</v>
  </rv>
  <rv s="0">
    <fb>299.89</fb>
    <v>1</v>
  </rv>
  <rv s="0">
    <fb>45755</fb>
    <v>0</v>
  </rv>
  <rv s="0">
    <fb>45756</fb>
    <v>0</v>
  </rv>
  <rv s="0">
    <fb>303.95999999999998</fb>
    <v>1</v>
  </rv>
  <rv s="0">
    <fb>45757</fb>
    <v>0</v>
  </rv>
  <rv s="0">
    <fb>306.77999999999997</fb>
    <v>1</v>
  </rv>
  <rv s="0">
    <fb>45758</fb>
    <v>0</v>
  </rv>
  <rv s="0">
    <fb>309.89999999999998</fb>
    <v>1</v>
  </rv>
  <rv s="0">
    <fb>45761</fb>
    <v>0</v>
  </rv>
  <rv s="0">
    <fb>316.07</fb>
    <v>1</v>
  </rv>
  <rv s="0">
    <fb>45762</fb>
    <v>0</v>
  </rv>
  <rv s="0">
    <fb>312.48</fb>
    <v>1</v>
  </rv>
  <rv s="0">
    <fb>45763</fb>
    <v>0</v>
  </rv>
  <rv s="0">
    <fb>309.10000000000002</fb>
    <v>1</v>
  </rv>
  <rv s="0">
    <fb>45764</fb>
    <v>0</v>
  </rv>
  <rv s="0">
    <fb>311.3</fb>
    <v>1</v>
  </rv>
  <rv s="0">
    <fb>45768</fb>
    <v>0</v>
  </rv>
  <rv s="0">
    <fb>308.72000000000003</fb>
    <v>1</v>
  </rv>
  <rv s="0">
    <fb>45769</fb>
    <v>0</v>
  </rv>
  <rv s="0">
    <fb>319.08</fb>
    <v>1</v>
  </rv>
  <rv s="0">
    <fb>45770</fb>
    <v>0</v>
  </rv>
  <rv s="0">
    <fb>318.48</fb>
    <v>1</v>
  </rv>
  <rv s="0">
    <fb>45771</fb>
    <v>0</v>
  </rv>
  <rv s="0">
    <fb>316.22000000000003</fb>
    <v>1</v>
  </rv>
  <rv s="0">
    <fb>45772</fb>
    <v>0</v>
  </rv>
  <rv s="0">
    <fb>316.74</fb>
    <v>1</v>
  </rv>
  <rv s="0">
    <fb>45775</fb>
    <v>0</v>
  </rv>
  <rv s="0">
    <fb>316.81</fb>
    <v>1</v>
  </rv>
  <rv s="0">
    <fb>45776</fb>
    <v>0</v>
  </rv>
  <rv s="0">
    <fb>314.5</fb>
    <v>1</v>
  </rv>
  <rv s="0">
    <fb>45777</fb>
    <v>0</v>
  </rv>
  <rv s="0">
    <fb>319.64999999999998</fb>
    <v>1</v>
  </rv>
  <rv s="0">
    <fb>45778</fb>
    <v>0</v>
  </rv>
  <rv s="0">
    <fb>313.64</fb>
    <v>1</v>
  </rv>
  <rv s="0">
    <fb>45779</fb>
    <v>0</v>
  </rv>
  <rv s="0">
    <fb>311.95999999999998</fb>
    <v>1</v>
  </rv>
  <rv s="0">
    <fb>45782</fb>
    <v>0</v>
  </rv>
  <rv s="0">
    <fb>315.72000000000003</fb>
    <v>1</v>
  </rv>
  <rv s="0">
    <fb>45783</fb>
    <v>0</v>
  </rv>
  <rv s="0">
    <fb>316.79000000000002</fb>
    <v>1</v>
  </rv>
  <rv s="0">
    <fb>45784</fb>
    <v>0</v>
  </rv>
  <rv s="0">
    <fb>318.13</fb>
    <v>1</v>
  </rv>
  <rv s="0">
    <fb>45785</fb>
    <v>0</v>
  </rv>
  <rv s="0">
    <fb>313.49</fb>
    <v>1</v>
  </rv>
  <rv s="0">
    <fb>45786</fb>
    <v>0</v>
  </rv>
  <rv s="0">
    <fb>313.68</fb>
    <v>1</v>
  </rv>
  <rv s="0">
    <fb>45789</fb>
    <v>0</v>
  </rv>
  <rv s="0">
    <fb>311.92</fb>
    <v>1</v>
  </rv>
  <rv s="0">
    <fb>45790</fb>
    <v>0</v>
  </rv>
  <rv s="0">
    <fb>308.69</fb>
    <v>1</v>
  </rv>
  <rv s="0">
    <fb>45791</fb>
    <v>0</v>
  </rv>
  <rv s="0">
    <fb>307.5</fb>
    <v>1</v>
  </rv>
  <rv s="0">
    <fb>45792</fb>
    <v>0</v>
  </rv>
  <rv s="0">
    <fb>314.48</fb>
    <v>1</v>
  </rv>
  <rv s="0">
    <fb>45793</fb>
    <v>0</v>
  </rv>
  <rv s="0">
    <fb>318.61</fb>
    <v>1</v>
  </rv>
  <rv s="0">
    <fb>45796</fb>
    <v>0</v>
  </rv>
  <rv s="0">
    <fb>321.23</fb>
    <v>1</v>
  </rv>
  <rv s="0">
    <fb>45797</fb>
    <v>0</v>
  </rv>
  <rv s="0">
    <fb>319.8</fb>
    <v>1</v>
  </rv>
  <rv s="0">
    <fb>45798</fb>
    <v>0</v>
  </rv>
  <rv s="0">
    <fb>316.44</fb>
    <v>1</v>
  </rv>
  <rv s="0">
    <fb>45799</fb>
    <v>0</v>
  </rv>
  <rv s="0">
    <fb>314.31</fb>
    <v>1</v>
  </rv>
  <rv s="0">
    <fb>45800</fb>
    <v>0</v>
  </rv>
  <rv s="0">
    <fb>314.57</fb>
    <v>1</v>
  </rv>
  <rv s="0">
    <fb>45804</fb>
    <v>0</v>
  </rv>
  <rv s="0">
    <fb>314.95</fb>
    <v>1</v>
  </rv>
  <rv s="0">
    <fb>45805</fb>
    <v>0</v>
  </rv>
  <rv s="0">
    <fb>312.83999999999997</fb>
    <v>1</v>
  </rv>
  <rv s="0">
    <fb>45806</fb>
    <v>0</v>
  </rv>
  <rv s="0">
    <fb>311.86</fb>
    <v>1</v>
  </rv>
  <rv s="0">
    <fb>45807</fb>
    <v>0</v>
  </rv>
  <rv s="0">
    <fb>313.85000000000002</fb>
    <v>1</v>
  </rv>
  <rv s="0">
    <fb>45810</fb>
    <v>0</v>
  </rv>
  <rv s="0">
    <fb>312.68</fb>
    <v>1</v>
  </rv>
  <rv s="0">
    <fb>45811</fb>
    <v>0</v>
  </rv>
  <rv s="0">
    <fb>312.39</fb>
    <v>1</v>
  </rv>
  <rv s="0">
    <fb>45812</fb>
    <v>0</v>
  </rv>
  <rv s="0">
    <fb>311.57</fb>
    <v>1</v>
  </rv>
  <rv s="0">
    <fb>45813</fb>
    <v>0</v>
  </rv>
  <rv s="0">
    <fb>308.98</fb>
    <v>1</v>
  </rv>
  <rv s="0">
    <fb>45814</fb>
    <v>0</v>
  </rv>
  <rv s="0">
    <fb>307.36</fb>
    <v>1</v>
  </rv>
  <rv s="0">
    <fb>45817</fb>
    <v>0</v>
  </rv>
  <rv s="0">
    <fb>304.77999999999997</fb>
    <v>1</v>
  </rv>
  <rv s="0">
    <fb>45818</fb>
    <v>0</v>
  </rv>
  <rv s="0">
    <fb>300.43</fb>
    <v>1</v>
  </rv>
  <rv s="0">
    <fb>45819</fb>
    <v>0</v>
  </rv>
  <rv s="0">
    <fb>301.72000000000003</fb>
    <v>1</v>
  </rv>
  <rv s="0">
    <fb>45820</fb>
    <v>0</v>
  </rv>
  <rv s="0">
    <fb>303.16000000000003</fb>
    <v>1</v>
  </rv>
  <rv s="0">
    <fb>45821</fb>
    <v>0</v>
  </rv>
  <rv s="0">
    <fb>301.91000000000003</fb>
    <v>1</v>
  </rv>
  <rv s="0">
    <fb>45824</fb>
    <v>0</v>
  </rv>
  <rv s="0">
    <fb>296.29000000000002</fb>
    <v>1</v>
  </rv>
  <rv s="0">
    <fb>45825</fb>
    <v>0</v>
  </rv>
  <rv s="0">
    <fb>292.31</fb>
    <v>1</v>
  </rv>
  <rv s="0">
    <fb>45826</fb>
    <v>0</v>
  </rv>
  <rv s="0">
    <fb>289.63</fb>
    <v>1</v>
  </rv>
  <rv s="0">
    <fb>45828</fb>
    <v>0</v>
  </rv>
  <rv s="0">
    <fb>287.45999999999998</fb>
    <v>1</v>
  </rv>
  <rv s="0">
    <fb>45831</fb>
    <v>0</v>
  </rv>
  <rv s="0">
    <fb>289.52</fb>
    <v>1</v>
  </rv>
  <rv s="0">
    <fb>45832</fb>
    <v>0</v>
  </rv>
  <rv s="0">
    <fb>291.47000000000003</fb>
    <v>1</v>
  </rv>
  <rv s="0">
    <fb>45833</fb>
    <v>0</v>
  </rv>
  <rv s="0">
    <fb>285.55</fb>
    <v>1</v>
  </rv>
  <rv s="0">
    <fb>45834</fb>
    <v>0</v>
  </rv>
  <rv s="0">
    <fb>285.63</fb>
    <v>1</v>
  </rv>
  <rv s="0">
    <fb>45835</fb>
    <v>0</v>
  </rv>
  <rv s="0">
    <fb>291.55</fb>
    <v>1</v>
  </rv>
  <rv s="0">
    <fb>45838</fb>
    <v>0</v>
  </rv>
  <rv s="0">
    <fb>292.17</fb>
    <v>1</v>
  </rv>
  <rv s="0">
    <fb>45839</fb>
    <v>0</v>
  </rv>
  <rv s="0">
    <fb>297.49</fb>
    <v>1</v>
  </rv>
  <rv s="0">
    <fb>45840</fb>
    <v>0</v>
  </rv>
  <rv s="0">
    <fb>294.63</fb>
    <v>1</v>
  </rv>
  <rv s="0">
    <fb>45841</fb>
    <v>0</v>
  </rv>
  <rv s="0">
    <fb>294.08</fb>
    <v>1</v>
  </rv>
  <rv s="0">
    <fb>45845</fb>
    <v>0</v>
  </rv>
  <rv s="0">
    <fb>293.52999999999997</fb>
    <v>1</v>
  </rv>
  <rv s="0">
    <fb>45846</fb>
    <v>0</v>
  </rv>
  <rv s="0">
    <fb>291.67</fb>
    <v>1</v>
  </rv>
  <rv s="0">
    <fb>45847</fb>
    <v>0</v>
  </rv>
  <rv s="0">
    <fb>293.02</fb>
    <v>1</v>
  </rv>
  <rv s="0">
    <fb>45848</fb>
    <v>0</v>
  </rv>
  <rv s="0">
    <fb>298.39</fb>
    <v>1</v>
  </rv>
  <rv s="0">
    <fb>45849</fb>
    <v>0</v>
  </rv>
  <rv s="0">
    <fb>299.91000000000003</fb>
    <v>1</v>
  </rv>
  <rv s="0">
    <fb>45852</fb>
    <v>0</v>
  </rv>
  <rv s="0">
    <fb>301.88</fb>
    <v>1</v>
  </rv>
  <rv s="0">
    <fb>45853</fb>
    <v>0</v>
  </rv>
  <rv s="0">
    <fb>299.62</fb>
    <v>1</v>
  </rv>
  <rv s="0">
    <fb>45854</fb>
    <v>0</v>
  </rv>
  <rv s="0">
    <fb>298.89999999999998</fb>
    <v>1</v>
  </rv>
  <rv s="0">
    <fb>45855</fb>
    <v>0</v>
  </rv>
  <rv s="0">
    <fb>300.37</fb>
    <v>1</v>
  </rv>
  <rv s="0">
    <fb>45856</fb>
    <v>0</v>
  </rv>
  <rv s="0">
    <fb>297.07</fb>
    <v>1</v>
  </rv>
  <rv s="0">
    <fb>45859</fb>
    <v>0</v>
  </rv>
  <rv s="0">
    <fb>295.74</fb>
    <v>1</v>
  </rv>
  <rv s="0">
    <fb>45860</fb>
    <v>0</v>
  </rv>
  <rv s="0">
    <fb>299.17</fb>
    <v>1</v>
  </rv>
  <rv s="0">
    <fb>45861</fb>
    <v>0</v>
  </rv>
  <rv s="0">
    <fb>298.12</fb>
    <v>1</v>
  </rv>
  <rv s="0">
    <fb>45862</fb>
    <v>0</v>
  </rv>
  <rv s="0">
    <fb>294.48</fb>
    <v>1</v>
  </rv>
  <rv s="0">
    <fb>45863</fb>
    <v>0</v>
  </rv>
  <rv s="0">
    <fb>298.47000000000003</fb>
    <v>1</v>
  </rv>
  <rv s="0">
    <fb>45866</fb>
    <v>0</v>
  </rv>
  <rv s="0">
    <fb>299.22000000000003</fb>
    <v>1</v>
  </rv>
  <rv s="0">
    <fb>45867</fb>
    <v>0</v>
  </rv>
  <rv s="0">
    <fb>302.67</fb>
    <v>1</v>
  </rv>
  <rv s="0">
    <fb>45868</fb>
    <v>0</v>
  </rv>
  <rv s="0">
    <fb>303.61</fb>
    <v>1</v>
  </rv>
  <rv s="0">
    <fb>45869</fb>
    <v>0</v>
  </rv>
  <rv s="0">
    <fb>300.07</fb>
    <v>1</v>
  </rv>
  <rv s="0">
    <fb>45870</fb>
    <v>0</v>
  </rv>
  <rv s="0">
    <fb>302.89</fb>
    <v>1</v>
  </rv>
  <rv s="0">
    <fb>45873</fb>
    <v>0</v>
  </rv>
  <rv s="0">
    <fb>304.23</fb>
    <v>1</v>
  </rv>
  <rv s="0">
    <fb>45874</fb>
    <v>0</v>
  </rv>
  <rv s="0">
    <fb>298.77</fb>
    <v>1</v>
  </rv>
  <rv s="0">
    <fb>45875</fb>
    <v>0</v>
  </rv>
  <rv s="0">
    <fb>307.66000000000003</fb>
    <v>1</v>
  </rv>
  <rv s="0">
    <fb>45876</fb>
    <v>0</v>
  </rv>
  <rv s="0">
    <fb>307.91000000000003</fb>
    <v>1</v>
  </rv>
  <rv s="0">
    <fb>45877</fb>
    <v>0</v>
  </rv>
  <rv s="0">
    <fb>305.45</fb>
    <v>1</v>
  </rv>
  <rv s="0">
    <fb>45880</fb>
    <v>0</v>
  </rv>
  <rv s="0">
    <fb>304.36</fb>
    <v>1</v>
  </rv>
  <rv s="0">
    <fb>45881</fb>
    <v>0</v>
  </rv>
  <rv s="0">
    <fb>301.64</fb>
    <v>1</v>
  </rv>
  <rv s="0">
    <fb>45882</fb>
    <v>0</v>
  </rv>
  <rv s="0">
    <fb>305.07</fb>
    <v>1</v>
  </rv>
  <rv s="0">
    <fb>45883</fb>
    <v>0</v>
  </rv>
  <rv s="0">
    <fb>308.95</fb>
    <v>1</v>
  </rv>
  <rv s="0">
    <fb>45884</fb>
    <v>0</v>
  </rv>
  <rv s="0">
    <fb>308.93</fb>
    <v>1</v>
  </rv>
  <rv s="0">
    <fb>45887</fb>
    <v>0</v>
  </rv>
  <rv s="0">
    <fb>308.7</fb>
    <v>1</v>
  </rv>
  <rv s="0">
    <fb>45888</fb>
    <v>0</v>
  </rv>
  <rv s="0">
    <fb>310.93</fb>
    <v>1</v>
  </rv>
  <rv s="0">
    <fb>45889</fb>
    <v>0</v>
  </rv>
  <rv s="0">
    <fb>313.08</fb>
    <v>1</v>
  </rv>
  <rv s="0">
    <fb>45890</fb>
    <v>0</v>
  </rv>
  <rv s="0">
    <fb>313.22000000000003</fb>
    <v>1</v>
  </rv>
  <rv s="0">
    <fb>45891</fb>
    <v>0</v>
  </rv>
  <rv s="0">
    <fb>314.07</fb>
    <v>1</v>
  </rv>
  <rv s="0">
    <fb>45894</fb>
    <v>0</v>
  </rv>
  <rv s="0">
    <fb>313.44</fb>
    <v>1</v>
  </rv>
  <rv s="0">
    <fb>45895</fb>
    <v>0</v>
  </rv>
  <rv s="0">
    <fb>312.94</fb>
    <v>1</v>
  </rv>
  <rv s="0">
    <fb>45896</fb>
    <v>0</v>
  </rv>
  <rv s="0">
    <fb>311.43</fb>
    <v>1</v>
  </rv>
  <rv s="0">
    <fb>45897</fb>
    <v>0</v>
  </rv>
  <rv s="0">
    <fb>312.22000000000003</fb>
    <v>1</v>
  </rv>
  <rv s="0">
    <fb>45898</fb>
    <v>0</v>
  </rv>
  <rv s="0">
    <fb>313.54000000000002</fb>
    <v>1</v>
  </rv>
  <rv s="0">
    <fb>45902</fb>
    <v>0</v>
  </rv>
  <rv s="0">
    <fb>315.76</fb>
    <v>1</v>
  </rv>
  <rv s="0">
    <fb>45903</fb>
    <v>0</v>
  </rv>
  <rv s="0">
    <fb>316.39</fb>
    <v>1</v>
  </rv>
  <rv s="0">
    <fb>45904</fb>
    <v>0</v>
  </rv>
  <rv s="0">
    <fb>316.99</fb>
    <v>1</v>
  </rv>
  <rv s="0">
    <fb>45905</fb>
    <v>0</v>
  </rv>
  <rv s="0">
    <fb>314.38</fb>
    <v>1</v>
  </rv>
  <rv s="0">
    <fb>45908</fb>
    <v>0</v>
  </rv>
  <rv s="0">
    <fb>312.8</fb>
    <v>1</v>
  </rv>
  <rv s="0">
    <fb>45909</fb>
    <v>0</v>
  </rv>
  <rv s="0">
    <fb>312.52</fb>
    <v>1</v>
  </rv>
  <rv s="0">
    <fb>45910</fb>
    <v>0</v>
  </rv>
  <rv s="0">
    <fb>305.94</fb>
    <v>1</v>
  </rv>
  <rv s="0">
    <fb>45911</fb>
    <v>0</v>
  </rv>
  <rv s="0">
    <fb>308.43</fb>
    <v>1</v>
  </rv>
  <rv s="0">
    <fb>45912</fb>
    <v>0</v>
  </rv>
  <rv s="0">
    <fb>305.39999999999998</fb>
    <v>1</v>
  </rv>
  <rv s="0">
    <fb>45915</fb>
    <v>0</v>
  </rv>
  <rv s="0">
    <fb>302.07</fb>
    <v>1</v>
  </rv>
  <rv s="0">
    <fb>45916</fb>
    <v>0</v>
  </rv>
  <rv s="0">
    <fb>303.29000000000002</fb>
    <v>1</v>
  </rv>
  <rv s="0">
    <fb>45917</fb>
    <v>0</v>
  </rv>
  <rv s="0">
    <fb>304.97000000000003</fb>
    <v>1</v>
  </rv>
  <rv s="0">
    <fb>45918</fb>
    <v>0</v>
  </rv>
  <rv s="0">
    <fb>301.14</fb>
    <v>1</v>
  </rv>
  <rv s="0">
    <fb>45919</fb>
    <v>0</v>
  </rv>
  <rv s="0">
    <fb>302.38</fb>
    <v>1</v>
  </rv>
  <rv s="0">
    <fb>45922</fb>
    <v>0</v>
  </rv>
  <rv s="0">
    <fb>302.99</fb>
    <v>1</v>
  </rv>
  <rv s="0">
    <fb>45923</fb>
    <v>0</v>
  </rv>
  <rv s="0">
    <fb>303.19</fb>
    <v>1</v>
  </rv>
  <rv s="0">
    <fb>45924</fb>
    <v>0</v>
  </rv>
  <rv s="0">
    <fb>304.33</fb>
    <v>1</v>
  </rv>
  <rv s="0">
    <fb>45925</fb>
    <v>0</v>
  </rv>
  <rv s="0">
    <fb>302.3</fb>
    <v>1</v>
  </rv>
  <rv s="0">
    <fb>45926</fb>
    <v>0</v>
  </rv>
  <rv s="0">
    <fb>305.24</fb>
    <v>1</v>
  </rv>
  <rv s="0">
    <fb>45929</fb>
    <v>0</v>
  </rv>
  <rv s="0">
    <fb>45930</fb>
    <v>0</v>
  </rv>
  <rv s="0">
    <fb>303.89</fb>
    <v>1</v>
  </rv>
  <rv s="0">
    <fb>45931</fb>
    <v>0</v>
  </rv>
  <rv s="0">
    <fb>300.52</fb>
    <v>1</v>
  </rv>
  <rv s="0">
    <fb>45932</fb>
    <v>0</v>
  </rv>
  <rv s="0">
    <fb>299.88</fb>
    <v>1</v>
  </rv>
  <rv s="0">
    <fb>45933</fb>
    <v>0</v>
  </rv>
  <rv s="0">
    <fb>300.98</fb>
    <v>1</v>
  </rv>
  <rv s="0">
    <fb>45936</fb>
    <v>0</v>
  </rv>
  <rv s="0">
    <fb>296.04000000000002</fb>
    <v>1</v>
  </rv>
  <rv s="0">
    <fb>45937</fb>
    <v>0</v>
  </rv>
  <rv s="0">
    <fb>296.32</fb>
    <v>1</v>
  </rv>
  <rv s="0">
    <fb>45938</fb>
    <v>0</v>
  </rv>
  <rv s="0">
    <fb>294.39999999999998</fb>
    <v>1</v>
  </rv>
  <rv s="0">
    <fb>45939</fb>
    <v>0</v>
  </rv>
  <rv s="0">
    <fb>293.81</fb>
    <v>1</v>
  </rv>
  <rv s="0">
    <fb>45940</fb>
    <v>0</v>
  </rv>
  <rv s="0">
    <fb>297.01</fb>
    <v>1</v>
  </rv>
  <rv s="0">
    <fb>45943</fb>
    <v>0</v>
  </rv>
  <rv s="0">
    <fb>45944</fb>
    <v>0</v>
  </rv>
  <rv s="0">
    <fb>304.56</fb>
    <v>1</v>
  </rv>
  <rv s="0">
    <fb>45945</fb>
    <v>0</v>
  </rv>
  <rv s="0">
    <fb>305.25</fb>
    <v>1</v>
  </rv>
  <rv s="0">
    <fb>45946</fb>
    <v>0</v>
  </rv>
  <rv s="0">
    <fb>305.33</fb>
    <v>1</v>
  </rv>
  <rv s="0">
    <fb>45947</fb>
    <v>0</v>
  </rv>
  <rv s="0">
    <fb>308.08999999999997</fb>
    <v>1</v>
  </rv>
  <rv s="0">
    <fb>45950</fb>
    <v>0</v>
  </rv>
  <rv s="0">
    <fb>307.77</fb>
    <v>1</v>
  </rv>
  <rv s="0">
    <fb>45951</fb>
    <v>0</v>
  </rv>
  <rv s="0">
    <fb>307.48</fb>
    <v>1</v>
  </rv>
  <rv s="0">
    <fb>45952</fb>
    <v>0</v>
  </rv>
  <rv s="0">
    <fb>310.11</fb>
    <v>1</v>
  </rv>
  <rv s="0">
    <fb>45953</fb>
    <v>0</v>
  </rv>
  <rv s="0">
    <fb>306.97000000000003</fb>
    <v>1</v>
  </rv>
  <rv s="0">
    <fb>45954</fb>
    <v>0</v>
  </rv>
  <rv s="0">
    <fb>305.79000000000002</fb>
    <v>1</v>
  </rv>
  <rv s="0">
    <fb>45957</fb>
    <v>0</v>
  </rv>
  <rv s="0">
    <fb>310</fb>
    <v>1</v>
  </rv>
  <rv s="0">
    <fb>45958</fb>
    <v>0</v>
  </rv>
  <rv s="0">
    <fb>306.39999999999998</fb>
    <v>1</v>
  </rv>
  <rv s="0">
    <fb>45959</fb>
    <v>0</v>
  </rv>
  <rv s="0">
    <fb>302.35000000000002</fb>
    <v>1</v>
  </rv>
  <rv s="0">
    <fb>45960</fb>
    <v>0</v>
  </rv>
  <rv s="0">
    <fb>302.43</fb>
    <v>1</v>
  </rv>
  <rv s="0">
    <fb>45961</fb>
    <v>0</v>
  </rv>
  <rv s="0">
    <fb>298.43</fb>
    <v>1</v>
  </rv>
  <rv s="0">
    <fb>45964</fb>
    <v>0</v>
  </rv>
  <rv s="0">
    <fb>296.37</fb>
    <v>1</v>
  </rv>
  <rv s="0">
    <fb>45965</fb>
    <v>0</v>
  </rv>
  <rv s="0">
    <fb>299.20999999999998</fb>
    <v>1</v>
  </rv>
  <rv s="0">
    <fb>45966</fb>
    <v>0</v>
  </rv>
  <rv s="0">
    <fb>45967</fb>
    <v>0</v>
  </rv>
  <rv s="0">
    <fb>298.41000000000003</fb>
    <v>1</v>
  </rv>
  <rv s="0">
    <fb>45968</fb>
    <v>0</v>
  </rv>
  <rv s="0">
    <fb>299.66000000000003</fb>
    <v>1</v>
  </rv>
  <rv s="0">
    <fb>45971</fb>
    <v>0</v>
  </rv>
  <rv s="0">
    <fb>299.10000000000002</fb>
    <v>1</v>
  </rv>
  <rv s="0">
    <fb>45972</fb>
    <v>0</v>
  </rv>
  <rv s="0">
    <fb>306.83</fb>
    <v>1</v>
  </rv>
  <rv s="0">
    <fb>45973</fb>
    <v>0</v>
  </rv>
  <rv s="0">
    <fb>306.94</fb>
    <v>1</v>
  </rv>
  <rv s="0">
    <fb>45974</fb>
    <v>0</v>
  </rv>
  <rv s="0">
    <fb>307.58</fb>
    <v>1</v>
  </rv>
  <rv s="0">
    <fb>45975</fb>
    <v>0</v>
  </rv>
  <rv s="0">
    <fb>307.02999999999997</fb>
    <v>1</v>
  </rv>
  <rv s="0">
    <fb>45978</fb>
    <v>0</v>
  </rv>
  <rv s="0">
    <fb>304.89999999999998</fb>
    <v>1</v>
  </rv>
  <rv s="0">
    <fb>45979</fb>
    <v>0</v>
  </rv>
  <rv s="0">
    <fb>304.58999999999997</fb>
    <v>1</v>
  </rv>
  <rv s="0">
    <fb>45980</fb>
    <v>0</v>
  </rv>
  <rv s="0">
    <fb>302.74</fb>
    <v>1</v>
  </rv>
  <rv s="0">
    <fb>45981</fb>
    <v>0</v>
  </rv>
  <rv s="0">
    <fb>304.16000000000003</fb>
    <v>1</v>
  </rv>
  <rv s="0">
    <fb>45982</fb>
    <v>0</v>
  </rv>
  <rv s="0">
    <fb>309.35000000000002</fb>
    <v>1</v>
  </rv>
  <rv s="0">
    <fb>45985</fb>
    <v>0</v>
  </rv>
  <rv s="0">
    <fb>45986</fb>
    <v>0</v>
  </rv>
  <rv s="0">
    <fb>310.45</fb>
    <v>1</v>
  </rv>
  <rv s="0">
    <fb>45987</fb>
    <v>0</v>
  </rv>
  <rv s="0">
    <fb>312.39999999999998</fb>
    <v>1</v>
  </rv>
  <rv s="0">
    <fb>45989</fb>
    <v>0</v>
  </rv>
  <rv s="0">
    <fb>311.82</fb>
    <v>1</v>
  </rv>
  <rv s="0">
    <fb>45992</fb>
    <v>0</v>
  </rv>
  <rv s="0">
    <fb>303.57</fb>
    <v>1</v>
  </rv>
  <rv s="0">
    <fb>45993</fb>
    <v>0</v>
  </rv>
  <rv s="0">
    <fb>300.72000000000003</fb>
    <v>1</v>
  </rv>
  <rv s="0">
    <fb>45994</fb>
    <v>0</v>
  </rv>
  <rv s="0">
    <fb>307.70999999999998</fb>
    <v>1</v>
  </rv>
  <rv s="0">
    <fb>45995</fb>
    <v>0</v>
  </rv>
  <rv s="0">
    <fb>308.54000000000002</fb>
    <v>1</v>
  </rv>
  <rv s="0">
    <fb>45996</fb>
    <v>0</v>
  </rv>
  <rv s="0">
    <fb>311.23</fb>
    <v>1</v>
  </rv>
  <rv s="0">
    <fb>45999</fb>
    <v>0</v>
  </rv>
  <rv s="0">
    <fb>309.79000000000002</fb>
    <v>1</v>
  </rv>
  <rv s="0">
    <fb>46000</fb>
    <v>0</v>
  </rv>
  <rv s="0">
    <fb>310.79000000000002</fb>
    <v>1</v>
  </rv>
  <rv s="0">
    <fb>46001</fb>
    <v>0</v>
  </rv>
  <rv s="0">
    <fb>310.52999999999997</fb>
    <v>1</v>
  </rv>
  <rv s="0">
    <fb>46002</fb>
    <v>0</v>
  </rv>
  <rv s="0">
    <fb>309.70999999999998</fb>
    <v>1</v>
  </rv>
  <rv s="0">
    <fb>46003</fb>
    <v>0</v>
  </rv>
  <rv s="0">
    <fb>316.72000000000003</fb>
    <v>1</v>
  </rv>
  <rv s="0">
    <fb>46006</fb>
    <v>0</v>
  </rv>
  <rv s="0">
    <fb>318.73</fb>
    <v>1</v>
  </rv>
  <rv s="0">
    <fb>46007</fb>
    <v>0</v>
  </rv>
  <rv s="0">
    <fb>46008</fb>
    <v>0</v>
  </rv>
  <rv s="0">
    <fb>318.69</fb>
    <v>1</v>
  </rv>
  <rv s="0">
    <fb>46009</fb>
    <v>0</v>
  </rv>
  <rv s="0">
    <fb>46010</fb>
    <v>0</v>
  </rv>
  <rv s="0">
    <fb>315.83999999999997</fb>
    <v>1</v>
  </rv>
  <rv s="0">
    <fb>46013</fb>
    <v>0</v>
  </rv>
  <rv s="0">
    <fb>46014</fb>
    <v>0</v>
  </rv>
  <rv s="0">
    <fb>310.83999999999997</fb>
    <v>1</v>
  </rv>
  <rv s="0">
    <fb>46015</fb>
    <v>0</v>
  </rv>
  <rv s="0">
    <fb>313.33</fb>
    <v>1</v>
  </rv>
  <rv s="0">
    <fb>46017</fb>
    <v>0</v>
  </rv>
  <rv s="0">
    <fb>310.68</fb>
    <v>1</v>
  </rv>
  <rv s="0">
    <fb>46020</fb>
    <v>0</v>
  </rv>
  <rv s="0">
    <fb>308.52999999999997</fb>
    <v>1</v>
  </rv>
  <rv s="0">
    <fb>46021</fb>
    <v>0</v>
  </rv>
  <rv s="0">
    <fb>308.02999999999997</fb>
    <v>1</v>
  </rv>
  <rv s="0">
    <fb>46022</fb>
    <v>0</v>
  </rv>
  <rv s="0">
    <fb>305.63</fb>
    <v>1</v>
  </rv>
  <rv s="1">
    <v>2</v>
    <v>MCD</v>
    <v>Daily</v>
    <v>45658</v>
    <v>46023</v>
    <v>0</v>
    <v>1</v>
    <v>639027360000000000,639034046133760863,0</v>
    <v>0</v>
    <v>a1xdec</v>
    <v>XNYS:MCD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48F1-ADFC-4D4B-BFCF-F204EA1780E9}">
  <sheetPr>
    <tabColor theme="0" tint="-0.14999847407452621"/>
  </sheetPr>
  <dimension ref="A3:E9"/>
  <sheetViews>
    <sheetView showGridLines="0" zoomScale="140" zoomScaleNormal="140" workbookViewId="0">
      <selection activeCell="E6" sqref="E6"/>
    </sheetView>
  </sheetViews>
  <sheetFormatPr baseColWidth="10" defaultRowHeight="16" x14ac:dyDescent="0.2"/>
  <cols>
    <col min="1" max="2" width="2.83203125" customWidth="1"/>
  </cols>
  <sheetData>
    <row r="3" spans="1:5" s="1" customFormat="1" ht="24" x14ac:dyDescent="0.3">
      <c r="A3"/>
      <c r="B3"/>
      <c r="C3" s="2" t="s">
        <v>0</v>
      </c>
    </row>
    <row r="6" spans="1:5" x14ac:dyDescent="0.2">
      <c r="B6">
        <v>1</v>
      </c>
      <c r="C6" t="s">
        <v>2</v>
      </c>
      <c r="E6" t="s">
        <v>1</v>
      </c>
    </row>
    <row r="7" spans="1:5" x14ac:dyDescent="0.2">
      <c r="B7">
        <v>2</v>
      </c>
      <c r="C7" t="s">
        <v>3</v>
      </c>
      <c r="E7" t="s">
        <v>1</v>
      </c>
    </row>
    <row r="8" spans="1:5" x14ac:dyDescent="0.2">
      <c r="B8">
        <v>3</v>
      </c>
      <c r="C8" t="s">
        <v>276</v>
      </c>
      <c r="E8" t="s">
        <v>1</v>
      </c>
    </row>
    <row r="9" spans="1:5" x14ac:dyDescent="0.2">
      <c r="B9">
        <v>3</v>
      </c>
      <c r="C9" t="s">
        <v>4</v>
      </c>
      <c r="E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030D-1E6B-B244-8B11-9FF5C06DFF6D}">
  <sheetPr>
    <tabColor theme="0" tint="-0.14999847407452621"/>
  </sheetPr>
  <dimension ref="A1:S24"/>
  <sheetViews>
    <sheetView showGridLines="0" tabSelected="1" zoomScale="125" workbookViewId="0">
      <selection activeCell="M11" sqref="M11"/>
    </sheetView>
  </sheetViews>
  <sheetFormatPr baseColWidth="10" defaultRowHeight="16" x14ac:dyDescent="0.2"/>
  <cols>
    <col min="1" max="2" width="2.83203125" customWidth="1"/>
    <col min="3" max="3" width="14.6640625" bestFit="1" customWidth="1"/>
    <col min="4" max="9" width="13.5" bestFit="1" customWidth="1"/>
  </cols>
  <sheetData>
    <row r="1" spans="1:19" s="3" customFormat="1" x14ac:dyDescent="0.2">
      <c r="A1" s="6"/>
    </row>
    <row r="2" spans="1:19" s="3" customFormat="1" x14ac:dyDescent="0.2">
      <c r="A2" s="6"/>
    </row>
    <row r="3" spans="1:19" s="3" customFormat="1" ht="27" x14ac:dyDescent="0.35">
      <c r="A3" s="6"/>
      <c r="C3" s="5" t="s">
        <v>277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2">
      <c r="A4" s="7"/>
    </row>
    <row r="5" spans="1:19" x14ac:dyDescent="0.2">
      <c r="A5" s="7"/>
    </row>
    <row r="6" spans="1:19" x14ac:dyDescent="0.2">
      <c r="A6" s="7" t="s">
        <v>7</v>
      </c>
      <c r="C6" s="4" t="s">
        <v>271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8" spans="1:19" x14ac:dyDescent="0.2">
      <c r="C8" s="118" t="s">
        <v>279</v>
      </c>
      <c r="D8" s="200" t="s">
        <v>2</v>
      </c>
      <c r="E8" s="200" t="s">
        <v>254</v>
      </c>
      <c r="F8" s="200" t="s">
        <v>255</v>
      </c>
      <c r="G8" s="200" t="s">
        <v>258</v>
      </c>
      <c r="H8" s="200" t="s">
        <v>256</v>
      </c>
      <c r="I8" s="201" t="s">
        <v>278</v>
      </c>
    </row>
    <row r="9" spans="1:19" x14ac:dyDescent="0.2">
      <c r="C9" s="198" t="s">
        <v>269</v>
      </c>
      <c r="D9" s="193">
        <v>319</v>
      </c>
      <c r="E9" s="193">
        <f>Comps!R32</f>
        <v>32.283934019079418</v>
      </c>
      <c r="F9" s="193">
        <f>Comps!S32</f>
        <v>308.23079743890486</v>
      </c>
      <c r="G9" s="193">
        <f>Comps!T32</f>
        <v>83.687265069712282</v>
      </c>
      <c r="H9" s="193">
        <f>Comps!U32</f>
        <v>556.36082167976099</v>
      </c>
      <c r="I9" s="194">
        <f ca="1">'52 week share price'!G9</f>
        <v>304.56540000000001</v>
      </c>
    </row>
    <row r="10" spans="1:19" x14ac:dyDescent="0.2">
      <c r="C10" s="198" t="s">
        <v>259</v>
      </c>
      <c r="D10" s="193"/>
      <c r="E10" s="193">
        <f>Comps!R33</f>
        <v>47.40410644672842</v>
      </c>
      <c r="F10" s="193">
        <f>Comps!S33</f>
        <v>314.62320429881265</v>
      </c>
      <c r="G10" s="193">
        <f>Comps!T33</f>
        <v>101.51725594186824</v>
      </c>
      <c r="H10" s="193">
        <f>Comps!U33</f>
        <v>481.37528685880062</v>
      </c>
      <c r="I10" s="194">
        <f ca="1">'52 week share price'!G10</f>
        <v>305.53999999999996</v>
      </c>
      <c r="K10" s="193">
        <f ca="1">AVERAGE(D11:D12,F11:F12,H11:I12)</f>
        <v>350.91134701327621</v>
      </c>
    </row>
    <row r="11" spans="1:19" x14ac:dyDescent="0.2">
      <c r="C11" s="198" t="s">
        <v>260</v>
      </c>
      <c r="D11" s="193">
        <v>209</v>
      </c>
      <c r="E11" s="193">
        <f>Comps!R34</f>
        <v>-23.458141174288063</v>
      </c>
      <c r="F11" s="193">
        <f>Comps!S34</f>
        <v>226.1772606484443</v>
      </c>
      <c r="G11" s="193">
        <f>Comps!T34</f>
        <v>27.8888038546277</v>
      </c>
      <c r="H11" s="193">
        <f>Comps!U34</f>
        <v>403.00182193876896</v>
      </c>
      <c r="I11" s="194">
        <f ca="1">'52 week share price'!G11</f>
        <v>299.45499999999998</v>
      </c>
    </row>
    <row r="12" spans="1:19" x14ac:dyDescent="0.2">
      <c r="C12" s="199" t="s">
        <v>261</v>
      </c>
      <c r="D12" s="195">
        <v>443</v>
      </c>
      <c r="E12" s="195">
        <f>Comps!R35</f>
        <v>80.8932247923305</v>
      </c>
      <c r="F12" s="195">
        <f>Comps!S35</f>
        <v>424.20604456741501</v>
      </c>
      <c r="G12" s="195">
        <f>Comps!T35</f>
        <v>111.50935884424898</v>
      </c>
      <c r="H12" s="195">
        <f>Comps!U35</f>
        <v>491.05314895158131</v>
      </c>
      <c r="I12" s="196">
        <f ca="1">'52 week share price'!G12</f>
        <v>311.39750000000004</v>
      </c>
    </row>
    <row r="14" spans="1:19" x14ac:dyDescent="0.2">
      <c r="A14" s="7" t="s">
        <v>7</v>
      </c>
      <c r="C14" s="4" t="s">
        <v>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6" spans="1:19" x14ac:dyDescent="0.2">
      <c r="C16" s="197" t="s">
        <v>285</v>
      </c>
      <c r="D16" s="209" t="s">
        <v>286</v>
      </c>
      <c r="E16" s="209" t="s">
        <v>287</v>
      </c>
      <c r="F16" s="210" t="s">
        <v>288</v>
      </c>
    </row>
    <row r="17" spans="1:6" x14ac:dyDescent="0.2">
      <c r="C17" s="134" t="str" cm="1">
        <f t="array" ref="C17:C22">TRANSPOSE(D8:I8)</f>
        <v>DCF</v>
      </c>
      <c r="D17" s="193">
        <f>D11</f>
        <v>209</v>
      </c>
      <c r="E17" s="211">
        <f>F17-D17</f>
        <v>234</v>
      </c>
      <c r="F17" s="194">
        <f>D12</f>
        <v>443</v>
      </c>
    </row>
    <row r="18" spans="1:6" x14ac:dyDescent="0.2">
      <c r="C18" s="134" t="str">
        <v>EV / Revenue</v>
      </c>
      <c r="D18" s="193">
        <f>E11</f>
        <v>-23.458141174288063</v>
      </c>
      <c r="E18" s="211">
        <f t="shared" ref="E18:E22" si="0">F18-D18</f>
        <v>104.35136596661856</v>
      </c>
      <c r="F18" s="194">
        <f>E12</f>
        <v>80.8932247923305</v>
      </c>
    </row>
    <row r="19" spans="1:6" x14ac:dyDescent="0.2">
      <c r="C19" s="134" t="str">
        <v>EV / EBITDA</v>
      </c>
      <c r="D19" s="193">
        <f>F11</f>
        <v>226.1772606484443</v>
      </c>
      <c r="E19" s="211">
        <f t="shared" si="0"/>
        <v>198.0287839189707</v>
      </c>
      <c r="F19" s="194">
        <f>F12</f>
        <v>424.20604456741501</v>
      </c>
    </row>
    <row r="20" spans="1:6" x14ac:dyDescent="0.2">
      <c r="C20" s="134" t="str">
        <v>P / Sales</v>
      </c>
      <c r="D20" s="193">
        <f>G11</f>
        <v>27.8888038546277</v>
      </c>
      <c r="E20" s="211">
        <f t="shared" si="0"/>
        <v>83.620554989621283</v>
      </c>
      <c r="F20" s="194">
        <f>G12</f>
        <v>111.50935884424898</v>
      </c>
    </row>
    <row r="21" spans="1:6" x14ac:dyDescent="0.2">
      <c r="C21" s="134" t="str">
        <v>P / E</v>
      </c>
      <c r="D21" s="193">
        <f>H11</f>
        <v>403.00182193876896</v>
      </c>
      <c r="E21" s="211">
        <f t="shared" si="0"/>
        <v>88.051327012812351</v>
      </c>
      <c r="F21" s="194">
        <f>H12</f>
        <v>491.05314895158131</v>
      </c>
    </row>
    <row r="22" spans="1:6" x14ac:dyDescent="0.2">
      <c r="C22" s="212" t="str">
        <v>52-wk Range</v>
      </c>
      <c r="D22" s="195">
        <f ca="1">I11</f>
        <v>299.45499999999998</v>
      </c>
      <c r="E22" s="213">
        <f t="shared" ca="1" si="0"/>
        <v>11.942500000000052</v>
      </c>
      <c r="F22" s="196">
        <f ca="1">I12</f>
        <v>311.39750000000004</v>
      </c>
    </row>
    <row r="24" spans="1:6" x14ac:dyDescent="0.2">
      <c r="A24" s="7" t="s">
        <v>7</v>
      </c>
      <c r="C24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F783-2EEC-5E4D-A523-49C7A8774E64}">
  <sheetPr>
    <tabColor theme="0" tint="-0.14999847407452621"/>
  </sheetPr>
  <dimension ref="A1:U37"/>
  <sheetViews>
    <sheetView showGridLines="0" topLeftCell="A2" zoomScale="140" zoomScaleNormal="100" zoomScaleSheetLayoutView="206" workbookViewId="0">
      <pane xSplit="3" ySplit="2" topLeftCell="F4" activePane="bottomRight" state="frozen"/>
      <selection activeCell="A2" sqref="A2"/>
      <selection pane="topRight" activeCell="D2" sqref="D2"/>
      <selection pane="bottomLeft" activeCell="A4" sqref="A4"/>
      <selection pane="bottomRight" activeCell="R14" sqref="R14"/>
    </sheetView>
  </sheetViews>
  <sheetFormatPr baseColWidth="10" defaultRowHeight="16" x14ac:dyDescent="0.2"/>
  <cols>
    <col min="1" max="1" width="2.83203125" style="7" customWidth="1"/>
    <col min="2" max="2" width="2.83203125" customWidth="1"/>
    <col min="3" max="3" width="17" bestFit="1" customWidth="1"/>
    <col min="4" max="19" width="9.1640625" customWidth="1"/>
  </cols>
  <sheetData>
    <row r="1" spans="1:19" s="3" customFormat="1" x14ac:dyDescent="0.2">
      <c r="A1" s="6"/>
    </row>
    <row r="2" spans="1:19" s="3" customFormat="1" x14ac:dyDescent="0.2">
      <c r="A2" s="6"/>
    </row>
    <row r="3" spans="1:19" s="3" customFormat="1" ht="27" x14ac:dyDescent="0.35">
      <c r="A3" s="6"/>
      <c r="C3" s="5" t="s">
        <v>238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6" spans="1:19" x14ac:dyDescent="0.2">
      <c r="A6" s="7" t="s">
        <v>7</v>
      </c>
      <c r="C6" s="130" t="s">
        <v>238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x14ac:dyDescent="0.2">
      <c r="C7" s="137" t="s">
        <v>265</v>
      </c>
    </row>
    <row r="8" spans="1:19" x14ac:dyDescent="0.2">
      <c r="C8" s="8"/>
      <c r="D8" s="8"/>
      <c r="E8" s="8"/>
      <c r="F8" s="8"/>
      <c r="G8" s="8"/>
      <c r="H8" s="8"/>
      <c r="I8" s="8"/>
      <c r="J8" s="8"/>
      <c r="K8" s="8"/>
      <c r="L8" s="8"/>
      <c r="M8" s="135"/>
      <c r="N8" s="8"/>
      <c r="O8" s="8"/>
      <c r="P8" s="8"/>
      <c r="Q8" s="135"/>
      <c r="R8" s="8"/>
      <c r="S8" s="8"/>
    </row>
    <row r="9" spans="1:19" x14ac:dyDescent="0.2">
      <c r="C9" s="123" t="s">
        <v>239</v>
      </c>
      <c r="D9" s="124" t="s">
        <v>264</v>
      </c>
      <c r="E9" s="124" t="s">
        <v>86</v>
      </c>
      <c r="F9" s="124" t="s">
        <v>268</v>
      </c>
      <c r="G9" s="124" t="s">
        <v>83</v>
      </c>
      <c r="H9" s="124" t="s">
        <v>266</v>
      </c>
      <c r="I9" s="124" t="s">
        <v>71</v>
      </c>
      <c r="J9" s="124" t="s">
        <v>267</v>
      </c>
      <c r="K9" s="124" t="s">
        <v>263</v>
      </c>
      <c r="L9" s="124" t="s">
        <v>253</v>
      </c>
      <c r="M9" s="136" t="s">
        <v>262</v>
      </c>
      <c r="N9" s="125" t="s">
        <v>254</v>
      </c>
      <c r="O9" s="125" t="s">
        <v>255</v>
      </c>
      <c r="P9" s="125" t="s">
        <v>258</v>
      </c>
      <c r="Q9" s="156" t="s">
        <v>256</v>
      </c>
      <c r="R9" s="125" t="s">
        <v>270</v>
      </c>
      <c r="S9" s="125"/>
    </row>
    <row r="10" spans="1:19" x14ac:dyDescent="0.2">
      <c r="B10" s="152"/>
      <c r="C10" s="132" t="s">
        <v>252</v>
      </c>
      <c r="D10" s="138">
        <v>150000</v>
      </c>
      <c r="E10" s="139">
        <v>26.27</v>
      </c>
      <c r="F10" s="153">
        <v>1.2500000000000001E-2</v>
      </c>
      <c r="G10" s="139">
        <v>14.33</v>
      </c>
      <c r="H10" s="150">
        <f>G10/E10</f>
        <v>0.54548915112295393</v>
      </c>
      <c r="I10" s="139">
        <v>8.41</v>
      </c>
      <c r="J10" s="150">
        <f>I10/E10</f>
        <v>0.32013703844689761</v>
      </c>
      <c r="K10" s="140">
        <v>302.11</v>
      </c>
      <c r="L10" s="139">
        <v>216.86</v>
      </c>
      <c r="M10" s="141">
        <v>270.85000000000002</v>
      </c>
      <c r="N10" s="127"/>
      <c r="O10" s="127"/>
      <c r="P10" s="127"/>
      <c r="Q10" s="157"/>
      <c r="R10" s="127"/>
      <c r="S10" s="127"/>
    </row>
    <row r="11" spans="1:19" x14ac:dyDescent="0.2">
      <c r="B11" s="152"/>
      <c r="C11" s="128" t="s">
        <v>240</v>
      </c>
      <c r="D11" s="142">
        <v>133000</v>
      </c>
      <c r="E11" s="143">
        <v>54.44</v>
      </c>
      <c r="F11" s="154">
        <v>2.12E-2</v>
      </c>
      <c r="G11" s="143">
        <v>2.5099999999999998</v>
      </c>
      <c r="H11" s="151">
        <f>G11/E11</f>
        <v>4.6105804555473917E-2</v>
      </c>
      <c r="I11" s="143">
        <v>0.47399999999999998</v>
      </c>
      <c r="J11" s="151">
        <f>I11/E11</f>
        <v>8.7068332108743568E-3</v>
      </c>
      <c r="K11" s="144">
        <v>56.93</v>
      </c>
      <c r="L11" s="143">
        <v>19.32</v>
      </c>
      <c r="M11" s="145">
        <v>26.97</v>
      </c>
      <c r="N11" s="155">
        <f>M11/E11</f>
        <v>0.49540778839088906</v>
      </c>
      <c r="O11" s="155">
        <f>M11/G11</f>
        <v>10.745019920318725</v>
      </c>
      <c r="P11" s="155">
        <f>L11/E11</f>
        <v>0.35488611315209406</v>
      </c>
      <c r="Q11" s="158">
        <f>L11/I11</f>
        <v>40.75949367088608</v>
      </c>
      <c r="R11" s="155" t="s">
        <v>1</v>
      </c>
      <c r="S11" s="155"/>
    </row>
    <row r="12" spans="1:19" x14ac:dyDescent="0.2">
      <c r="B12" s="152"/>
      <c r="C12" s="128" t="s">
        <v>241</v>
      </c>
      <c r="D12" s="142">
        <v>381000</v>
      </c>
      <c r="E12" s="143">
        <v>37.18</v>
      </c>
      <c r="F12" s="154">
        <v>2.7900000000000001E-2</v>
      </c>
      <c r="G12" s="143">
        <v>4.71</v>
      </c>
      <c r="H12" s="151">
        <f>G12/E12</f>
        <v>0.12668101129639592</v>
      </c>
      <c r="I12" s="143">
        <v>1.86</v>
      </c>
      <c r="J12" s="151">
        <f>I12/E12</f>
        <v>5.0026896180742339E-2</v>
      </c>
      <c r="K12" s="144">
        <v>89.15</v>
      </c>
      <c r="L12" s="143">
        <v>96.16</v>
      </c>
      <c r="M12" s="145">
        <v>119.55</v>
      </c>
      <c r="N12" s="155">
        <f t="shared" ref="N12:N22" si="0">M12/E12</f>
        <v>3.2154384077460998</v>
      </c>
      <c r="O12" s="155">
        <f t="shared" ref="O12:O22" si="1">M12/G12</f>
        <v>25.38216560509554</v>
      </c>
      <c r="P12" s="155">
        <f t="shared" ref="P12:P22" si="2">L12/E12</f>
        <v>2.5863367401828938</v>
      </c>
      <c r="Q12" s="158">
        <f t="shared" ref="Q12:Q22" si="3">L12/I12</f>
        <v>51.698924731182792</v>
      </c>
      <c r="R12" s="155"/>
      <c r="S12" s="155"/>
    </row>
    <row r="13" spans="1:19" x14ac:dyDescent="0.2">
      <c r="B13" s="152"/>
      <c r="C13" s="128" t="s">
        <v>242</v>
      </c>
      <c r="D13" s="142">
        <v>130000</v>
      </c>
      <c r="E13" s="143">
        <v>11.79</v>
      </c>
      <c r="F13" s="154">
        <v>7.3099999999999998E-2</v>
      </c>
      <c r="G13" s="143">
        <v>2.2799999999999998</v>
      </c>
      <c r="H13" s="151">
        <f>G13/E13</f>
        <v>0.19338422391857507</v>
      </c>
      <c r="I13" s="143">
        <v>1.54</v>
      </c>
      <c r="J13" s="151">
        <f>I13/E13</f>
        <v>0.13061916878710772</v>
      </c>
      <c r="K13" s="144">
        <v>38.909999999999997</v>
      </c>
      <c r="L13" s="143">
        <v>52.55</v>
      </c>
      <c r="M13" s="145">
        <v>55.78</v>
      </c>
      <c r="N13" s="155">
        <f t="shared" si="0"/>
        <v>4.7311280746395257</v>
      </c>
      <c r="O13" s="155">
        <f t="shared" si="1"/>
        <v>24.464912280701757</v>
      </c>
      <c r="P13" s="155">
        <f t="shared" si="2"/>
        <v>4.4571670907548775</v>
      </c>
      <c r="Q13" s="158">
        <f t="shared" si="3"/>
        <v>34.123376623376622</v>
      </c>
      <c r="R13" s="155" t="s">
        <v>1</v>
      </c>
      <c r="S13" s="155"/>
    </row>
    <row r="14" spans="1:19" x14ac:dyDescent="0.2">
      <c r="B14" s="152"/>
      <c r="C14" s="128" t="s">
        <v>243</v>
      </c>
      <c r="D14" s="142">
        <v>6000</v>
      </c>
      <c r="E14" s="147"/>
      <c r="F14" s="147"/>
      <c r="G14" s="147"/>
      <c r="H14" s="147"/>
      <c r="I14" s="147"/>
      <c r="J14" s="147"/>
      <c r="K14" s="148"/>
      <c r="L14" s="147"/>
      <c r="M14" s="149"/>
      <c r="N14" s="147"/>
      <c r="O14" s="147"/>
      <c r="P14" s="147"/>
      <c r="Q14" s="149"/>
      <c r="R14" s="155"/>
      <c r="S14" s="155"/>
    </row>
    <row r="15" spans="1:19" x14ac:dyDescent="0.2">
      <c r="B15" s="152"/>
      <c r="C15" s="128" t="s">
        <v>244</v>
      </c>
      <c r="D15" s="142"/>
      <c r="E15" s="143">
        <v>33.36</v>
      </c>
      <c r="F15" s="147"/>
      <c r="G15" s="147"/>
      <c r="H15" s="147"/>
      <c r="I15" s="147"/>
      <c r="J15" s="147"/>
      <c r="K15" s="148"/>
      <c r="L15" s="147"/>
      <c r="M15" s="149"/>
      <c r="N15" s="147"/>
      <c r="O15" s="147"/>
      <c r="P15" s="147"/>
      <c r="Q15" s="149"/>
      <c r="R15" s="155"/>
      <c r="S15" s="155"/>
    </row>
    <row r="16" spans="1:19" x14ac:dyDescent="0.2">
      <c r="B16" s="152"/>
      <c r="C16" s="128" t="s">
        <v>245</v>
      </c>
      <c r="D16" s="142">
        <v>10700</v>
      </c>
      <c r="E16" s="143">
        <v>4.8499999999999996</v>
      </c>
      <c r="F16" s="154">
        <v>3.9199999999999999E-2</v>
      </c>
      <c r="G16" s="143">
        <v>1.03</v>
      </c>
      <c r="H16" s="151">
        <f>G16/E16</f>
        <v>0.21237113402061858</v>
      </c>
      <c r="I16" s="143">
        <v>0.5</v>
      </c>
      <c r="J16" s="151">
        <f>I16/E16</f>
        <v>0.10309278350515465</v>
      </c>
      <c r="K16" s="144">
        <v>412.22</v>
      </c>
      <c r="L16" s="143">
        <v>14.66</v>
      </c>
      <c r="M16" s="145">
        <v>19.59</v>
      </c>
      <c r="N16" s="155">
        <f t="shared" si="0"/>
        <v>4.0391752577319586</v>
      </c>
      <c r="O16" s="155">
        <f t="shared" si="1"/>
        <v>19.019417475728154</v>
      </c>
      <c r="P16" s="155">
        <f t="shared" si="2"/>
        <v>3.0226804123711344</v>
      </c>
      <c r="Q16" s="158">
        <f t="shared" si="3"/>
        <v>29.32</v>
      </c>
      <c r="R16" s="155" t="s">
        <v>1</v>
      </c>
      <c r="S16" s="155"/>
    </row>
    <row r="17" spans="1:21" x14ac:dyDescent="0.2">
      <c r="B17" s="152"/>
      <c r="C17" s="128" t="s">
        <v>246</v>
      </c>
      <c r="D17" s="142">
        <v>5046</v>
      </c>
      <c r="E17" s="143">
        <v>1.47</v>
      </c>
      <c r="F17" s="154">
        <v>-6.7500000000000004E-2</v>
      </c>
      <c r="G17" s="143">
        <v>3.4000000000000002E-2</v>
      </c>
      <c r="H17" s="151">
        <f>G17/E17</f>
        <v>2.3129251700680274E-2</v>
      </c>
      <c r="I17" s="143">
        <v>-0.08</v>
      </c>
      <c r="J17" s="151">
        <f>I17/E17</f>
        <v>-5.4421768707482998E-2</v>
      </c>
      <c r="K17" s="144">
        <v>20.420000000000002</v>
      </c>
      <c r="L17" s="143">
        <v>0.373</v>
      </c>
      <c r="M17" s="145">
        <v>3.47</v>
      </c>
      <c r="N17" s="155"/>
      <c r="O17" s="155"/>
      <c r="P17" s="155"/>
      <c r="Q17" s="158"/>
      <c r="R17" s="155"/>
      <c r="S17" s="155"/>
    </row>
    <row r="18" spans="1:21" x14ac:dyDescent="0.2">
      <c r="B18" s="152"/>
      <c r="C18" s="128" t="s">
        <v>247</v>
      </c>
      <c r="D18" s="142">
        <v>11400</v>
      </c>
      <c r="E18" s="143">
        <v>2.09</v>
      </c>
      <c r="F18" s="154">
        <v>-6.4000000000000003E-3</v>
      </c>
      <c r="G18" s="143">
        <v>0.17299999999999999</v>
      </c>
      <c r="H18" s="151">
        <f>G18/E18</f>
        <v>8.2775119617224877E-2</v>
      </c>
      <c r="I18" s="143">
        <v>3.7999999999999999E-2</v>
      </c>
      <c r="J18" s="151">
        <f>I18/E18</f>
        <v>1.8181818181818181E-2</v>
      </c>
      <c r="K18" s="144">
        <v>39.950000000000003</v>
      </c>
      <c r="L18" s="143">
        <v>1.58</v>
      </c>
      <c r="M18" s="145">
        <v>2.5299999999999998</v>
      </c>
      <c r="N18" s="155">
        <f t="shared" si="0"/>
        <v>1.2105263157894737</v>
      </c>
      <c r="O18" s="155">
        <f t="shared" si="1"/>
        <v>14.624277456647398</v>
      </c>
      <c r="P18" s="155">
        <f t="shared" si="2"/>
        <v>0.7559808612440192</v>
      </c>
      <c r="Q18" s="158">
        <f t="shared" si="3"/>
        <v>41.578947368421055</v>
      </c>
      <c r="R18" s="155" t="s">
        <v>1</v>
      </c>
      <c r="S18" s="155"/>
    </row>
    <row r="19" spans="1:21" x14ac:dyDescent="0.2">
      <c r="B19" s="152"/>
      <c r="C19" s="128" t="s">
        <v>248</v>
      </c>
      <c r="D19" s="146"/>
      <c r="E19" s="147"/>
      <c r="F19" s="147"/>
      <c r="G19" s="147"/>
      <c r="H19" s="147"/>
      <c r="I19" s="147"/>
      <c r="J19" s="147"/>
      <c r="K19" s="148"/>
      <c r="L19" s="147"/>
      <c r="M19" s="149"/>
      <c r="N19" s="147"/>
      <c r="O19" s="147"/>
      <c r="P19" s="147"/>
      <c r="Q19" s="149"/>
      <c r="R19" s="155"/>
      <c r="S19" s="155"/>
      <c r="T19" s="169"/>
    </row>
    <row r="20" spans="1:21" x14ac:dyDescent="0.2">
      <c r="B20" s="152"/>
      <c r="C20" s="128" t="s">
        <v>249</v>
      </c>
      <c r="D20" s="142">
        <v>14500</v>
      </c>
      <c r="E20" s="143">
        <v>2.21</v>
      </c>
      <c r="F20" s="154">
        <v>-2.0999999999999999E-3</v>
      </c>
      <c r="G20" s="143">
        <v>0.55200000000000005</v>
      </c>
      <c r="H20" s="151">
        <f>G20/E20</f>
        <v>0.24977375565610863</v>
      </c>
      <c r="I20" s="143">
        <v>0.186</v>
      </c>
      <c r="J20" s="151">
        <f>I20/E20</f>
        <v>8.4162895927601816E-2</v>
      </c>
      <c r="K20" s="144">
        <v>8.35</v>
      </c>
      <c r="L20" s="143">
        <v>1.75</v>
      </c>
      <c r="M20" s="145">
        <v>5.55</v>
      </c>
      <c r="N20" s="155">
        <f t="shared" si="0"/>
        <v>2.5113122171945701</v>
      </c>
      <c r="O20" s="155">
        <f t="shared" si="1"/>
        <v>10.054347826086955</v>
      </c>
      <c r="P20" s="155">
        <f t="shared" si="2"/>
        <v>0.79185520361990946</v>
      </c>
      <c r="Q20" s="158">
        <f t="shared" si="3"/>
        <v>9.408602150537634</v>
      </c>
      <c r="R20" s="155"/>
      <c r="S20" s="155"/>
      <c r="T20" s="169"/>
      <c r="U20" s="159"/>
    </row>
    <row r="21" spans="1:21" x14ac:dyDescent="0.2">
      <c r="B21" s="152"/>
      <c r="C21" s="128" t="s">
        <v>250</v>
      </c>
      <c r="D21" s="146"/>
      <c r="E21" s="147"/>
      <c r="F21" s="147"/>
      <c r="G21" s="147"/>
      <c r="H21" s="147"/>
      <c r="I21" s="147"/>
      <c r="J21" s="147"/>
      <c r="K21" s="148"/>
      <c r="L21" s="147"/>
      <c r="M21" s="149"/>
      <c r="N21" s="147"/>
      <c r="O21" s="147"/>
      <c r="P21" s="147"/>
      <c r="Q21" s="149"/>
      <c r="R21" s="155"/>
      <c r="S21" s="155"/>
      <c r="T21" s="169"/>
    </row>
    <row r="22" spans="1:21" x14ac:dyDescent="0.2">
      <c r="B22" s="152"/>
      <c r="C22" s="126" t="s">
        <v>251</v>
      </c>
      <c r="D22" s="170">
        <v>12826</v>
      </c>
      <c r="E22" s="171">
        <v>1.37</v>
      </c>
      <c r="F22" s="172">
        <v>0.13489999999999999</v>
      </c>
      <c r="G22" s="171">
        <v>0.17399999999999999</v>
      </c>
      <c r="H22" s="173">
        <f>G22/E22</f>
        <v>0.12700729927007298</v>
      </c>
      <c r="I22" s="171">
        <v>4.2000000000000003E-2</v>
      </c>
      <c r="J22" s="173">
        <f>I22/E22</f>
        <v>3.0656934306569343E-2</v>
      </c>
      <c r="K22" s="174">
        <v>89.6</v>
      </c>
      <c r="L22" s="171">
        <v>3.77</v>
      </c>
      <c r="M22" s="175">
        <v>4.29</v>
      </c>
      <c r="N22" s="176">
        <f t="shared" si="0"/>
        <v>3.1313868613138682</v>
      </c>
      <c r="O22" s="176">
        <f t="shared" si="1"/>
        <v>24.655172413793107</v>
      </c>
      <c r="P22" s="176">
        <f t="shared" si="2"/>
        <v>2.7518248175182478</v>
      </c>
      <c r="Q22" s="177">
        <f t="shared" si="3"/>
        <v>89.761904761904759</v>
      </c>
      <c r="R22" s="176" t="s">
        <v>1</v>
      </c>
      <c r="S22" s="176"/>
      <c r="T22" s="169"/>
    </row>
    <row r="23" spans="1:21" x14ac:dyDescent="0.2">
      <c r="B23" s="152"/>
      <c r="C23" s="129" t="s">
        <v>269</v>
      </c>
      <c r="D23" s="178" cm="1">
        <f t="array" ref="D23">AVERAGE(IF($R$11:$R$22="X",D11:D22))</f>
        <v>59585.2</v>
      </c>
      <c r="E23" s="179" cm="1">
        <f t="array" ref="E23">AVERAGE(IF($R$11:$R$22="X",E11:E22))</f>
        <v>14.907999999999998</v>
      </c>
      <c r="F23" s="180" cm="1">
        <f t="array" ref="F23">AVERAGE(IF($R$11:$R$22="X",F11:F22))</f>
        <v>5.2400000000000002E-2</v>
      </c>
      <c r="G23" s="179" cm="1">
        <f t="array" ref="G23">AVERAGE(IF($R$11:$R$22="X",G11:G22))</f>
        <v>1.2334000000000001</v>
      </c>
      <c r="H23" s="151" cm="1">
        <f t="array" ref="H23">AVERAGE(IF($R$11:$R$22="X",H11:H22))</f>
        <v>0.13232871627639309</v>
      </c>
      <c r="I23" s="179" cm="1">
        <f t="array" ref="I23">AVERAGE(IF($R$11:$R$22="X",I11:I22))</f>
        <v>0.51879999999999993</v>
      </c>
      <c r="J23" s="151" cm="1">
        <f t="array" ref="J23">AVERAGE(IF($R$11:$R$22="X",J11:J22))</f>
        <v>5.8251507598304851E-2</v>
      </c>
      <c r="K23" s="181" cm="1">
        <f t="array" ref="K23">AVERAGE(IF($R$11:$R$22="X",K11:K22))</f>
        <v>127.52200000000002</v>
      </c>
      <c r="L23" s="179" cm="1">
        <f t="array" ref="L23">AVERAGE(IF($R$11:$R$22="X",L11:L22))</f>
        <v>18.375999999999998</v>
      </c>
      <c r="M23" s="182" cm="1">
        <f t="array" ref="M23">AVERAGE(IF($R$11:$R$22="X",M11:M22))</f>
        <v>21.832000000000001</v>
      </c>
      <c r="N23" s="160" cm="1">
        <f t="array" ref="N23">AVERAGE(IF($R$11:$R$22="X",N11:N22))</f>
        <v>2.7215248595731429</v>
      </c>
      <c r="O23" s="160" cm="1">
        <f t="array" ref="O23">AVERAGE(IF($R$11:$R$22="X",O11:O22))</f>
        <v>18.701759909437829</v>
      </c>
      <c r="P23" s="160" cm="1">
        <f t="array" ref="P23">AVERAGE(IF($R$11:$R$22="X",P11:P22))</f>
        <v>2.2685078590080745</v>
      </c>
      <c r="Q23" s="161" cm="1">
        <f t="array" ref="Q23">AVERAGE(IF($R$11:$R$22="X",Q11:Q22))</f>
        <v>47.1087444849177</v>
      </c>
      <c r="R23" s="155"/>
      <c r="S23" s="155"/>
      <c r="T23" s="169"/>
    </row>
    <row r="24" spans="1:21" x14ac:dyDescent="0.2">
      <c r="B24" s="152"/>
      <c r="C24" s="129" t="s">
        <v>259</v>
      </c>
      <c r="D24" s="178" cm="1">
        <f t="array" ref="D24">MEDIAN(IF($R$11:$R$22="X",D11:D22))</f>
        <v>12826</v>
      </c>
      <c r="E24" s="179" cm="1">
        <f t="array" ref="E24">MEDIAN(IF($R$11:$R$22="X",E11:E22))</f>
        <v>4.8499999999999996</v>
      </c>
      <c r="F24" s="180" cm="1">
        <f t="array" ref="F24">MEDIAN(IF($R$11:$R$22="X",F11:F22))</f>
        <v>3.9199999999999999E-2</v>
      </c>
      <c r="G24" s="179" cm="1">
        <f t="array" ref="G24">MEDIAN(IF($R$11:$R$22="X",G11:G22))</f>
        <v>1.03</v>
      </c>
      <c r="H24" s="151" cm="1">
        <f t="array" ref="H24">MEDIAN(IF($R$11:$R$22="X",H11:H22))</f>
        <v>0.12700729927007298</v>
      </c>
      <c r="I24" s="179" cm="1">
        <f t="array" ref="I24">MEDIAN(IF($R$11:$R$22="X",I11:I22))</f>
        <v>0.47399999999999998</v>
      </c>
      <c r="J24" s="151" cm="1">
        <f t="array" ref="J24">MEDIAN(IF($R$11:$R$22="X",J11:J22))</f>
        <v>3.0656934306569343E-2</v>
      </c>
      <c r="K24" s="181" cm="1">
        <f t="array" ref="K24">MEDIAN(IF($R$11:$R$22="X",K11:K22))</f>
        <v>56.93</v>
      </c>
      <c r="L24" s="179" cm="1">
        <f t="array" ref="L24">MEDIAN(IF($R$11:$R$22="X",L11:L22))</f>
        <v>14.66</v>
      </c>
      <c r="M24" s="182" cm="1">
        <f t="array" ref="M24">MEDIAN(IF($R$11:$R$22="X",M11:M22))</f>
        <v>19.59</v>
      </c>
      <c r="N24" s="160" cm="1">
        <f t="array" ref="N24">MEDIAN(IF($R$11:$R$22="X",N11:N22))</f>
        <v>3.1313868613138682</v>
      </c>
      <c r="O24" s="160" cm="1">
        <f t="array" ref="O24">MEDIAN(IF($R$11:$R$22="X",O11:O22))</f>
        <v>19.019417475728154</v>
      </c>
      <c r="P24" s="160" cm="1">
        <f t="array" ref="P24">MEDIAN(IF($R$11:$R$22="X",P11:P22))</f>
        <v>2.7518248175182478</v>
      </c>
      <c r="Q24" s="161" cm="1">
        <f t="array" ref="Q24">MEDIAN(IF($R$11:$R$22="X",Q11:Q22))</f>
        <v>40.75949367088608</v>
      </c>
      <c r="R24" s="155"/>
      <c r="S24" s="155"/>
      <c r="T24" s="160"/>
    </row>
    <row r="25" spans="1:21" x14ac:dyDescent="0.2">
      <c r="B25" s="152"/>
      <c r="C25" s="129" t="s">
        <v>260</v>
      </c>
      <c r="D25" s="178" cm="1">
        <f t="array" ref="D25">PERCENTILE(IF($R$11:$R$22="X",D11:D22),0.25)</f>
        <v>11400</v>
      </c>
      <c r="E25" s="179" cm="1">
        <f t="array" ref="E25">PERCENTILE(IF($R$11:$R$22="X",E11:E22),0.25)</f>
        <v>2.09</v>
      </c>
      <c r="F25" s="180" cm="1">
        <f t="array" ref="F25">PERCENTILE(IF($R$11:$R$22="X",F11:F22),0.25)</f>
        <v>2.12E-2</v>
      </c>
      <c r="G25" s="179" cm="1">
        <f t="array" ref="G25">PERCENTILE(IF($R$11:$R$22="X",G11:G22),0.25)</f>
        <v>0.17399999999999999</v>
      </c>
      <c r="H25" s="151" cm="1">
        <f t="array" ref="H25">PERCENTILE(IF($R$11:$R$22="X",H11:H22),0.25)</f>
        <v>8.2775119617224877E-2</v>
      </c>
      <c r="I25" s="179" cm="1">
        <f t="array" ref="I25">PERCENTILE(IF($R$11:$R$22="X",I11:I22),0.25)</f>
        <v>4.2000000000000003E-2</v>
      </c>
      <c r="J25" s="151" cm="1">
        <f t="array" ref="J25">PERCENTILE(IF($R$11:$R$22="X",J11:J22),0.25)</f>
        <v>1.8181818181818181E-2</v>
      </c>
      <c r="K25" s="181" cm="1">
        <f t="array" ref="K25">PERCENTILE(IF($R$11:$R$22="X",K11:K22),0.25)</f>
        <v>39.950000000000003</v>
      </c>
      <c r="L25" s="179" cm="1">
        <f t="array" ref="L25">PERCENTILE(IF($R$11:$R$22="X",L11:L22),0.25)</f>
        <v>3.77</v>
      </c>
      <c r="M25" s="182" cm="1">
        <f t="array" ref="M25">PERCENTILE(IF($R$11:$R$22="X",M11:M22),0.25)</f>
        <v>4.29</v>
      </c>
      <c r="N25" s="160" cm="1">
        <f t="array" ref="N25">PERCENTILE(IF($R$11:$R$22="X",N11:N22),0.25)</f>
        <v>1.2105263157894737</v>
      </c>
      <c r="O25" s="160" cm="1">
        <f t="array" ref="O25">PERCENTILE(IF($R$11:$R$22="X",O11:O22),0.25)</f>
        <v>14.624277456647398</v>
      </c>
      <c r="P25" s="160" cm="1">
        <f t="array" ref="P25">PERCENTILE(IF($R$11:$R$22="X",P11:P22),0.25)</f>
        <v>0.7559808612440192</v>
      </c>
      <c r="Q25" s="161" cm="1">
        <f t="array" ref="Q25">PERCENTILE(IF($R$11:$R$22="X",Q11:Q22),0.25)</f>
        <v>34.123376623376622</v>
      </c>
      <c r="R25" s="155"/>
      <c r="S25" s="155"/>
      <c r="T25" s="169"/>
    </row>
    <row r="26" spans="1:21" x14ac:dyDescent="0.2">
      <c r="B26" s="152"/>
      <c r="C26" s="129" t="s">
        <v>261</v>
      </c>
      <c r="D26" s="178" cm="1">
        <f t="array" ref="D26">PERCENTILE(IF($R$11:$R$22="X",D11:D22),0.75)</f>
        <v>130000</v>
      </c>
      <c r="E26" s="179" cm="1">
        <f t="array" ref="E26">PERCENTILE(IF($R$11:$R$22="X",E11:E22),0.75)</f>
        <v>11.79</v>
      </c>
      <c r="F26" s="180" cm="1">
        <f t="array" ref="F26">PERCENTILE(IF($R$11:$R$22="X",F11:F22),0.75)</f>
        <v>7.3099999999999998E-2</v>
      </c>
      <c r="G26" s="179" cm="1">
        <f t="array" ref="G26">PERCENTILE(IF($R$11:$R$22="X",G11:G22),0.75)</f>
        <v>2.2799999999999998</v>
      </c>
      <c r="H26" s="151" cm="1">
        <f t="array" ref="H26">PERCENTILE(IF($R$11:$R$22="X",H11:H22),0.75)</f>
        <v>0.19338422391857507</v>
      </c>
      <c r="I26" s="179" cm="1">
        <f t="array" ref="I26">PERCENTILE(IF($R$11:$R$22="X",I11:I22),0.75)</f>
        <v>0.5</v>
      </c>
      <c r="J26" s="151" cm="1">
        <f t="array" ref="J26">PERCENTILE(IF($R$11:$R$22="X",J11:J22),0.75)</f>
        <v>0.10309278350515465</v>
      </c>
      <c r="K26" s="181" cm="1">
        <f t="array" ref="K26">PERCENTILE(IF($R$11:$R$22="X",K11:K22),0.75)</f>
        <v>89.6</v>
      </c>
      <c r="L26" s="179" cm="1">
        <f t="array" ref="L26">PERCENTILE(IF($R$11:$R$22="X",L11:L22),0.75)</f>
        <v>19.32</v>
      </c>
      <c r="M26" s="182" cm="1">
        <f t="array" ref="M26">PERCENTILE(IF($R$11:$R$22="X",M11:M22),0.75)</f>
        <v>26.97</v>
      </c>
      <c r="N26" s="160" cm="1">
        <f t="array" ref="N26">PERCENTILE(IF($R$11:$R$22="X",N11:N22),0.75)</f>
        <v>4.0391752577319586</v>
      </c>
      <c r="O26" s="160" cm="1">
        <f t="array" ref="O26">PERCENTILE(IF($R$11:$R$22="X",O11:O22),0.75)</f>
        <v>24.464912280701757</v>
      </c>
      <c r="P26" s="160" cm="1">
        <f t="array" ref="P26">PERCENTILE(IF($R$11:$R$22="X",P11:P22),0.75)</f>
        <v>3.0226804123711344</v>
      </c>
      <c r="Q26" s="161" cm="1">
        <f t="array" ref="Q26">PERCENTILE(IF($R$11:$R$22="X",Q11:Q22),0.75)</f>
        <v>41.578947368421055</v>
      </c>
      <c r="R26" s="155"/>
      <c r="S26" s="155"/>
      <c r="T26" s="169"/>
    </row>
    <row r="27" spans="1:21" x14ac:dyDescent="0.2"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69"/>
    </row>
    <row r="28" spans="1:21" x14ac:dyDescent="0.2">
      <c r="A28" s="7" t="s">
        <v>7</v>
      </c>
      <c r="C28" s="130" t="s">
        <v>257</v>
      </c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0"/>
    </row>
    <row r="29" spans="1:21" x14ac:dyDescent="0.2"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69"/>
    </row>
    <row r="30" spans="1:21" ht="19" x14ac:dyDescent="0.35"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65" t="s">
        <v>110</v>
      </c>
      <c r="O30" s="166"/>
      <c r="P30" s="166"/>
      <c r="Q30" s="184"/>
      <c r="R30" s="165" t="s">
        <v>16</v>
      </c>
      <c r="S30" s="165"/>
      <c r="T30" s="166"/>
      <c r="U30" s="166"/>
    </row>
    <row r="31" spans="1:21" x14ac:dyDescent="0.2">
      <c r="C31" s="123" t="s">
        <v>252</v>
      </c>
      <c r="D31" s="124" t="s">
        <v>86</v>
      </c>
      <c r="E31" s="124" t="s">
        <v>83</v>
      </c>
      <c r="F31" s="124" t="s">
        <v>71</v>
      </c>
      <c r="G31" s="124" t="s">
        <v>272</v>
      </c>
      <c r="H31" s="124" t="s">
        <v>273</v>
      </c>
      <c r="I31" s="124" t="s">
        <v>274</v>
      </c>
      <c r="J31" s="167" t="s">
        <v>254</v>
      </c>
      <c r="K31" s="167" t="s">
        <v>255</v>
      </c>
      <c r="L31" s="167" t="s">
        <v>258</v>
      </c>
      <c r="M31" s="167" t="s">
        <v>256</v>
      </c>
      <c r="N31" s="167" t="s">
        <v>254</v>
      </c>
      <c r="O31" s="167" t="s">
        <v>255</v>
      </c>
      <c r="P31" s="167" t="s">
        <v>258</v>
      </c>
      <c r="Q31" s="185" t="s">
        <v>256</v>
      </c>
      <c r="R31" s="167" t="s">
        <v>254</v>
      </c>
      <c r="S31" s="167" t="s">
        <v>255</v>
      </c>
      <c r="T31" s="167" t="s">
        <v>258</v>
      </c>
      <c r="U31" s="167" t="s">
        <v>256</v>
      </c>
    </row>
    <row r="32" spans="1:21" x14ac:dyDescent="0.2">
      <c r="C32" s="129" t="s">
        <v>269</v>
      </c>
      <c r="D32" s="168">
        <f>E10</f>
        <v>26.27</v>
      </c>
      <c r="E32" s="168">
        <f>G10</f>
        <v>14.33</v>
      </c>
      <c r="F32" s="168">
        <f>I10</f>
        <v>8.41</v>
      </c>
      <c r="G32" s="164">
        <f>'DCF model'!R97</f>
        <v>712.1</v>
      </c>
      <c r="H32" s="168">
        <f>'DCF model'!R94/1000</f>
        <v>1.0478029639999999</v>
      </c>
      <c r="I32" s="168">
        <f>'DCF model'!R95/1000</f>
        <v>-49.552871610000004</v>
      </c>
      <c r="J32" s="162">
        <f>N23</f>
        <v>2.7215248595731429</v>
      </c>
      <c r="K32" s="162">
        <f>O23</f>
        <v>18.701759909437829</v>
      </c>
      <c r="L32" s="162">
        <f t="shared" ref="L32:M32" si="4">P23</f>
        <v>2.2685078590080745</v>
      </c>
      <c r="M32" s="162">
        <f t="shared" si="4"/>
        <v>47.1087444849177</v>
      </c>
      <c r="N32" s="163">
        <f>J32*D32+H32+I32</f>
        <v>22.989389414986455</v>
      </c>
      <c r="O32" s="163">
        <f>K32*E32+H32+I32</f>
        <v>219.49115085624413</v>
      </c>
      <c r="P32" s="163">
        <f>L32*D32</f>
        <v>59.593701456142114</v>
      </c>
      <c r="Q32" s="186">
        <f>M32*F32</f>
        <v>396.18454111815788</v>
      </c>
      <c r="R32" s="183">
        <f>N32*1000/$G32</f>
        <v>32.283934019079418</v>
      </c>
      <c r="S32" s="183">
        <f>O32*1000/$G32</f>
        <v>308.23079743890486</v>
      </c>
      <c r="T32" s="183">
        <f>P32*1000/$G32</f>
        <v>83.687265069712282</v>
      </c>
      <c r="U32" s="183">
        <f>Q32*1000/$G32</f>
        <v>556.36082167976099</v>
      </c>
    </row>
    <row r="33" spans="1:21" x14ac:dyDescent="0.2">
      <c r="C33" s="129" t="s">
        <v>259</v>
      </c>
      <c r="D33" s="168">
        <f>D32</f>
        <v>26.27</v>
      </c>
      <c r="E33" s="168">
        <f t="shared" ref="E33:I33" si="5">E32</f>
        <v>14.33</v>
      </c>
      <c r="F33" s="168">
        <f t="shared" si="5"/>
        <v>8.41</v>
      </c>
      <c r="G33" s="168">
        <f t="shared" si="5"/>
        <v>712.1</v>
      </c>
      <c r="H33" s="168">
        <f t="shared" si="5"/>
        <v>1.0478029639999999</v>
      </c>
      <c r="I33" s="168">
        <f t="shared" si="5"/>
        <v>-49.552871610000004</v>
      </c>
      <c r="J33" s="162">
        <f t="shared" ref="J33:J35" si="6">N24</f>
        <v>3.1313868613138682</v>
      </c>
      <c r="K33" s="162">
        <f t="shared" ref="K33:K35" si="7">O24</f>
        <v>19.019417475728154</v>
      </c>
      <c r="L33" s="162">
        <f>P24</f>
        <v>2.7518248175182478</v>
      </c>
      <c r="M33" s="162">
        <f t="shared" ref="M33" si="8">Q24</f>
        <v>40.75949367088608</v>
      </c>
      <c r="N33" s="163">
        <f t="shared" ref="N33:N35" si="9">J33*D33+H33+I33</f>
        <v>33.756464200715307</v>
      </c>
      <c r="O33" s="163">
        <f t="shared" ref="O33:O35" si="10">K33*E33+H33+I33</f>
        <v>224.0431837811845</v>
      </c>
      <c r="P33" s="163">
        <f t="shared" ref="P33:P35" si="11">L33*D33</f>
        <v>72.290437956204372</v>
      </c>
      <c r="Q33" s="186">
        <f>M33*F33</f>
        <v>342.78734177215193</v>
      </c>
      <c r="R33" s="183">
        <f t="shared" ref="R33:R35" si="12">N33*1000/$G33</f>
        <v>47.40410644672842</v>
      </c>
      <c r="S33" s="183">
        <f t="shared" ref="S33:U35" si="13">O33*1000/$G33</f>
        <v>314.62320429881265</v>
      </c>
      <c r="T33" s="183">
        <f t="shared" si="13"/>
        <v>101.51725594186824</v>
      </c>
      <c r="U33" s="183">
        <f t="shared" si="13"/>
        <v>481.37528685880062</v>
      </c>
    </row>
    <row r="34" spans="1:21" x14ac:dyDescent="0.2">
      <c r="C34" s="129" t="s">
        <v>260</v>
      </c>
      <c r="D34" s="168">
        <f t="shared" ref="D34:D35" si="14">D33</f>
        <v>26.27</v>
      </c>
      <c r="E34" s="168">
        <f t="shared" ref="E34:E35" si="15">E33</f>
        <v>14.33</v>
      </c>
      <c r="F34" s="168">
        <f t="shared" ref="F34:F35" si="16">F33</f>
        <v>8.41</v>
      </c>
      <c r="G34" s="168">
        <f t="shared" ref="G34:G35" si="17">G33</f>
        <v>712.1</v>
      </c>
      <c r="H34" s="168">
        <f t="shared" ref="H34:H35" si="18">H33</f>
        <v>1.0478029639999999</v>
      </c>
      <c r="I34" s="168">
        <f t="shared" ref="I34:I35" si="19">I33</f>
        <v>-49.552871610000004</v>
      </c>
      <c r="J34" s="162">
        <f t="shared" si="6"/>
        <v>1.2105263157894737</v>
      </c>
      <c r="K34" s="162">
        <f t="shared" si="7"/>
        <v>14.624277456647398</v>
      </c>
      <c r="L34" s="162">
        <f t="shared" ref="L34:L35" si="20">P25</f>
        <v>0.7559808612440192</v>
      </c>
      <c r="M34" s="162">
        <f>Q25</f>
        <v>34.123376623376622</v>
      </c>
      <c r="N34" s="163">
        <f t="shared" si="9"/>
        <v>-16.704542330210529</v>
      </c>
      <c r="O34" s="163">
        <f t="shared" si="10"/>
        <v>161.06082730775719</v>
      </c>
      <c r="P34" s="163">
        <f t="shared" si="11"/>
        <v>19.859617224880385</v>
      </c>
      <c r="Q34" s="186">
        <f>M34*F34</f>
        <v>286.97759740259738</v>
      </c>
      <c r="R34" s="183">
        <f>N34*1000/$G34</f>
        <v>-23.458141174288063</v>
      </c>
      <c r="S34" s="183">
        <f t="shared" si="13"/>
        <v>226.1772606484443</v>
      </c>
      <c r="T34" s="183">
        <f t="shared" si="13"/>
        <v>27.8888038546277</v>
      </c>
      <c r="U34" s="183">
        <f t="shared" si="13"/>
        <v>403.00182193876896</v>
      </c>
    </row>
    <row r="35" spans="1:21" x14ac:dyDescent="0.2">
      <c r="C35" s="129" t="s">
        <v>261</v>
      </c>
      <c r="D35" s="168">
        <f t="shared" si="14"/>
        <v>26.27</v>
      </c>
      <c r="E35" s="168">
        <f t="shared" si="15"/>
        <v>14.33</v>
      </c>
      <c r="F35" s="168">
        <f t="shared" si="16"/>
        <v>8.41</v>
      </c>
      <c r="G35" s="168">
        <f t="shared" si="17"/>
        <v>712.1</v>
      </c>
      <c r="H35" s="168">
        <f t="shared" si="18"/>
        <v>1.0478029639999999</v>
      </c>
      <c r="I35" s="168">
        <f t="shared" si="19"/>
        <v>-49.552871610000004</v>
      </c>
      <c r="J35" s="162">
        <f t="shared" si="6"/>
        <v>4.0391752577319586</v>
      </c>
      <c r="K35" s="162">
        <f t="shared" si="7"/>
        <v>24.464912280701757</v>
      </c>
      <c r="L35" s="162">
        <f t="shared" si="20"/>
        <v>3.0226804123711344</v>
      </c>
      <c r="M35" s="162">
        <f>Q26</f>
        <v>41.578947368421055</v>
      </c>
      <c r="N35" s="163">
        <f t="shared" si="9"/>
        <v>57.60406537461855</v>
      </c>
      <c r="O35" s="163">
        <f t="shared" si="10"/>
        <v>302.07712433645622</v>
      </c>
      <c r="P35" s="163">
        <f t="shared" si="11"/>
        <v>79.4058144329897</v>
      </c>
      <c r="Q35" s="186">
        <f>M35*F35</f>
        <v>349.67894736842106</v>
      </c>
      <c r="R35" s="183">
        <f t="shared" si="12"/>
        <v>80.8932247923305</v>
      </c>
      <c r="S35" s="183">
        <f t="shared" si="13"/>
        <v>424.20604456741501</v>
      </c>
      <c r="T35" s="183">
        <f t="shared" si="13"/>
        <v>111.50935884424898</v>
      </c>
      <c r="U35" s="183">
        <f t="shared" si="13"/>
        <v>491.05314895158131</v>
      </c>
    </row>
    <row r="36" spans="1:21" x14ac:dyDescent="0.2"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</row>
    <row r="37" spans="1:21" x14ac:dyDescent="0.2">
      <c r="A37" s="7" t="s">
        <v>7</v>
      </c>
      <c r="C37" t="s">
        <v>12</v>
      </c>
    </row>
  </sheetData>
  <conditionalFormatting sqref="D10:D26">
    <cfRule type="colorScale" priority="11">
      <colorScale>
        <cfvo type="min"/>
        <cfvo type="max"/>
        <color rgb="FFFCFCFF"/>
        <color rgb="FF63BE7B"/>
      </colorScale>
    </cfRule>
  </conditionalFormatting>
  <conditionalFormatting sqref="E10:F14 E15 E16:F22">
    <cfRule type="colorScale" priority="10">
      <colorScale>
        <cfvo type="min"/>
        <cfvo type="max"/>
        <color rgb="FFFCFCFF"/>
        <color rgb="FF63BE7B"/>
      </colorScale>
    </cfRule>
  </conditionalFormatting>
  <conditionalFormatting sqref="E23:F26">
    <cfRule type="colorScale" priority="3">
      <colorScale>
        <cfvo type="min"/>
        <cfvo type="max"/>
        <color rgb="FFFCFCFF"/>
        <color rgb="FF63BE7B"/>
      </colorScale>
    </cfRule>
  </conditionalFormatting>
  <conditionalFormatting sqref="F10:F26">
    <cfRule type="colorScale" priority="9">
      <colorScale>
        <cfvo type="min"/>
        <cfvo type="max"/>
        <color rgb="FFFCFCFF"/>
        <color rgb="FF63BE7B"/>
      </colorScale>
    </cfRule>
  </conditionalFormatting>
  <conditionalFormatting sqref="H10:H26">
    <cfRule type="colorScale" priority="13">
      <colorScale>
        <cfvo type="min"/>
        <cfvo type="max"/>
        <color rgb="FFFCFCFF"/>
        <color rgb="FF63BE7B"/>
      </colorScale>
    </cfRule>
  </conditionalFormatting>
  <conditionalFormatting sqref="J10:J26">
    <cfRule type="colorScale" priority="12">
      <colorScale>
        <cfvo type="min"/>
        <cfvo type="max"/>
        <color rgb="FFFCFCFF"/>
        <color rgb="FF63BE7B"/>
      </colorScale>
    </cfRule>
  </conditionalFormatting>
  <conditionalFormatting sqref="N11:N13 N16:N18 N20 N22 R23:S23">
    <cfRule type="colorScale" priority="8">
      <colorScale>
        <cfvo type="min"/>
        <cfvo type="max"/>
        <color rgb="FFFCFCFF"/>
        <color rgb="FF63BE7B"/>
      </colorScale>
    </cfRule>
  </conditionalFormatting>
  <conditionalFormatting sqref="O11:O13 O16:O18 O20 O22">
    <cfRule type="colorScale" priority="7">
      <colorScale>
        <cfvo type="min"/>
        <cfvo type="max"/>
        <color rgb="FFFCFCFF"/>
        <color rgb="FF63BE7B"/>
      </colorScale>
    </cfRule>
  </conditionalFormatting>
  <conditionalFormatting sqref="P11:P13 P16:P18 P20 P22">
    <cfRule type="colorScale" priority="6">
      <colorScale>
        <cfvo type="min"/>
        <cfvo type="max"/>
        <color rgb="FFFCFCFF"/>
        <color rgb="FF63BE7B"/>
      </colorScale>
    </cfRule>
  </conditionalFormatting>
  <conditionalFormatting sqref="Q11:R13 Q16:Q18 Q20 Q22 R14:R22 R24:R26">
    <cfRule type="colorScale" priority="5">
      <colorScale>
        <cfvo type="min"/>
        <cfvo type="max"/>
        <color rgb="FFFCFCFF"/>
        <color rgb="FF63BE7B"/>
      </colorScale>
    </cfRule>
  </conditionalFormatting>
  <conditionalFormatting sqref="R32:U35">
    <cfRule type="colorScale" priority="1">
      <colorScale>
        <cfvo type="min"/>
        <cfvo type="max"/>
        <color rgb="FFFCFCFF"/>
        <color rgb="FF63BE7B"/>
      </colorScale>
    </cfRule>
  </conditionalFormatting>
  <conditionalFormatting sqref="S11:S22 S24:S2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scale="35" orientation="portrait" horizontalDpi="0" verticalDpi="0"/>
  <ignoredErrors>
    <ignoredError sqref="D23:M2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46AF-2427-5F4F-974A-798F7E66D6C0}">
  <sheetPr>
    <tabColor theme="0" tint="-0.14999847407452621"/>
  </sheetPr>
  <dimension ref="A1:U259"/>
  <sheetViews>
    <sheetView showGridLines="0" topLeftCell="A2" zoomScale="140" zoomScaleNormal="100" zoomScaleSheetLayoutView="206" workbookViewId="0">
      <pane xSplit="3" ySplit="2" topLeftCell="D5" activePane="bottomRight" state="frozen"/>
      <selection activeCell="A2" sqref="A2"/>
      <selection pane="topRight" activeCell="D2" sqref="D2"/>
      <selection pane="bottomLeft" activeCell="A4" sqref="A4"/>
      <selection pane="bottomRight" activeCell="H23" sqref="H23"/>
    </sheetView>
  </sheetViews>
  <sheetFormatPr baseColWidth="10" defaultRowHeight="16" x14ac:dyDescent="0.2"/>
  <cols>
    <col min="1" max="1" width="2.83203125" style="7" customWidth="1"/>
    <col min="2" max="2" width="2.83203125" customWidth="1"/>
    <col min="3" max="3" width="17" bestFit="1" customWidth="1"/>
    <col min="4" max="19" width="9.1640625" customWidth="1"/>
  </cols>
  <sheetData>
    <row r="1" spans="1:21" s="3" customFormat="1" x14ac:dyDescent="0.2">
      <c r="A1" s="6"/>
    </row>
    <row r="2" spans="1:21" s="3" customFormat="1" x14ac:dyDescent="0.2">
      <c r="A2" s="6"/>
    </row>
    <row r="3" spans="1:21" s="3" customFormat="1" ht="27" x14ac:dyDescent="0.35">
      <c r="A3" s="6"/>
      <c r="C3" s="5" t="s">
        <v>275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1" x14ac:dyDescent="0.2"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69"/>
    </row>
    <row r="5" spans="1:21" x14ac:dyDescent="0.2">
      <c r="A5" s="7" t="s">
        <v>7</v>
      </c>
      <c r="C5" s="130" t="s">
        <v>257</v>
      </c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</row>
    <row r="6" spans="1:21" x14ac:dyDescent="0.2"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69"/>
    </row>
    <row r="7" spans="1:21" x14ac:dyDescent="0.2">
      <c r="C7" s="131"/>
      <c r="D7" s="131"/>
      <c r="E7" s="168"/>
      <c r="F7" s="131"/>
      <c r="G7" s="131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</row>
    <row r="8" spans="1:21" x14ac:dyDescent="0.2">
      <c r="C8" s="190" t="str" cm="1">
        <f t="array" aca="1" ref="C8:D258" ca="1">_xlfn.STOCKHISTORY("MCD","1/1/2025","1/1/2026")</f>
        <v>Date</v>
      </c>
      <c r="D8" s="125" t="str">
        <f ca="1"/>
        <v>Close</v>
      </c>
      <c r="E8" s="168"/>
      <c r="F8" s="190" t="s">
        <v>271</v>
      </c>
      <c r="G8" s="190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</row>
    <row r="9" spans="1:21" x14ac:dyDescent="0.2">
      <c r="C9" s="191" vm="1">
        <f ca="1"/>
        <v>45659</v>
      </c>
      <c r="D9" s="189" vm="2">
        <f ca="1"/>
        <v>292.51</v>
      </c>
      <c r="E9" s="189"/>
      <c r="F9" s="129" t="s">
        <v>269</v>
      </c>
      <c r="G9" s="189">
        <f ca="1">AVERAGE(D9:D258)</f>
        <v>304.56540000000001</v>
      </c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</row>
    <row r="10" spans="1:21" x14ac:dyDescent="0.2">
      <c r="C10" s="191" vm="3">
        <f ca="1"/>
        <v>45660</v>
      </c>
      <c r="D10" s="189" vm="4">
        <f ca="1"/>
        <v>294.77999999999997</v>
      </c>
      <c r="E10" s="187"/>
      <c r="F10" s="129" t="s">
        <v>259</v>
      </c>
      <c r="G10" s="189">
        <f ca="1">MEDIAN(D9:D258)</f>
        <v>305.53999999999996</v>
      </c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</row>
    <row r="11" spans="1:21" x14ac:dyDescent="0.2">
      <c r="C11" s="191" vm="5">
        <f ca="1"/>
        <v>45663</v>
      </c>
      <c r="D11" s="189" vm="6">
        <f ca="1"/>
        <v>292.18</v>
      </c>
      <c r="E11" s="187"/>
      <c r="F11" s="129" t="s">
        <v>260</v>
      </c>
      <c r="G11" s="189">
        <f ca="1">PERCENTILE(D9:D258,0.25)</f>
        <v>299.45499999999998</v>
      </c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</row>
    <row r="12" spans="1:21" x14ac:dyDescent="0.2">
      <c r="C12" s="191" vm="7">
        <f ca="1"/>
        <v>45664</v>
      </c>
      <c r="D12" s="189" vm="8">
        <f ca="1"/>
        <v>289.33999999999997</v>
      </c>
      <c r="E12" s="187"/>
      <c r="F12" s="129" t="s">
        <v>261</v>
      </c>
      <c r="G12" s="189">
        <f ca="1">PERCENTILE(D9:D258,0.75)</f>
        <v>311.39750000000004</v>
      </c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</row>
    <row r="13" spans="1:21" x14ac:dyDescent="0.2">
      <c r="C13" s="191" vm="9">
        <f ca="1"/>
        <v>45665</v>
      </c>
      <c r="D13" s="128" vm="10">
        <f ca="1"/>
        <v>286.89999999999998</v>
      </c>
      <c r="E13" s="128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</row>
    <row r="14" spans="1:21" x14ac:dyDescent="0.2">
      <c r="C14" s="192" vm="11">
        <f ca="1"/>
        <v>45667</v>
      </c>
      <c r="D14" s="189" vm="12">
        <f ca="1"/>
        <v>282.31</v>
      </c>
      <c r="E14" s="189"/>
    </row>
    <row r="15" spans="1:21" x14ac:dyDescent="0.2">
      <c r="C15" s="192" vm="13">
        <f ca="1"/>
        <v>45670</v>
      </c>
      <c r="D15" s="189" vm="14">
        <f ca="1"/>
        <v>283.63</v>
      </c>
      <c r="E15" s="189"/>
    </row>
    <row r="16" spans="1:21" x14ac:dyDescent="0.2">
      <c r="C16" s="192" vm="15">
        <f ca="1"/>
        <v>45671</v>
      </c>
      <c r="D16" s="189" vm="16">
        <f ca="1"/>
        <v>281.58</v>
      </c>
      <c r="E16" s="189"/>
    </row>
    <row r="17" spans="3:5" x14ac:dyDescent="0.2">
      <c r="C17" s="192" vm="17">
        <f ca="1"/>
        <v>45672</v>
      </c>
      <c r="D17" s="189" vm="18">
        <f ca="1"/>
        <v>282.3</v>
      </c>
      <c r="E17" s="189"/>
    </row>
    <row r="18" spans="3:5" x14ac:dyDescent="0.2">
      <c r="C18" s="192" vm="19">
        <f ca="1"/>
        <v>45673</v>
      </c>
      <c r="D18" s="189" vm="20">
        <f ca="1"/>
        <v>279.74</v>
      </c>
      <c r="E18" s="189"/>
    </row>
    <row r="19" spans="3:5" x14ac:dyDescent="0.2">
      <c r="C19" s="192" vm="21">
        <f ca="1"/>
        <v>45674</v>
      </c>
      <c r="D19" s="189" vm="22">
        <f ca="1"/>
        <v>280.95</v>
      </c>
      <c r="E19" s="189"/>
    </row>
    <row r="20" spans="3:5" x14ac:dyDescent="0.2">
      <c r="C20" s="192" vm="23">
        <f ca="1"/>
        <v>45678</v>
      </c>
      <c r="D20" s="189" vm="24">
        <f ca="1"/>
        <v>282.61</v>
      </c>
      <c r="E20" s="189"/>
    </row>
    <row r="21" spans="3:5" x14ac:dyDescent="0.2">
      <c r="C21" s="192" vm="25">
        <f ca="1"/>
        <v>45679</v>
      </c>
      <c r="D21" s="189" vm="26">
        <f ca="1"/>
        <v>281.35000000000002</v>
      </c>
      <c r="E21" s="189"/>
    </row>
    <row r="22" spans="3:5" x14ac:dyDescent="0.2">
      <c r="C22" s="192" vm="27">
        <f ca="1"/>
        <v>45680</v>
      </c>
      <c r="D22" s="189" vm="28">
        <f ca="1"/>
        <v>284.43</v>
      </c>
      <c r="E22" s="189"/>
    </row>
    <row r="23" spans="3:5" x14ac:dyDescent="0.2">
      <c r="C23" s="192" vm="29">
        <f ca="1"/>
        <v>45681</v>
      </c>
      <c r="D23" s="189" vm="30">
        <f ca="1"/>
        <v>285.45999999999998</v>
      </c>
      <c r="E23" s="189"/>
    </row>
    <row r="24" spans="3:5" x14ac:dyDescent="0.2">
      <c r="C24" s="192" vm="31">
        <f ca="1"/>
        <v>45684</v>
      </c>
      <c r="D24" s="189" vm="32">
        <f ca="1"/>
        <v>293.08999999999997</v>
      </c>
      <c r="E24" s="189"/>
    </row>
    <row r="25" spans="3:5" x14ac:dyDescent="0.2">
      <c r="C25" s="192" vm="33">
        <f ca="1"/>
        <v>45685</v>
      </c>
      <c r="D25" s="189" vm="34">
        <f ca="1"/>
        <v>291.14999999999998</v>
      </c>
      <c r="E25" s="189"/>
    </row>
    <row r="26" spans="3:5" x14ac:dyDescent="0.2">
      <c r="C26" s="192" vm="35">
        <f ca="1"/>
        <v>45686</v>
      </c>
      <c r="D26" s="189" vm="36">
        <f ca="1"/>
        <v>290.11</v>
      </c>
      <c r="E26" s="189"/>
    </row>
    <row r="27" spans="3:5" x14ac:dyDescent="0.2">
      <c r="C27" s="192" vm="37">
        <f ca="1"/>
        <v>45687</v>
      </c>
      <c r="D27" s="189" vm="38">
        <f ca="1"/>
        <v>290.32</v>
      </c>
      <c r="E27" s="189"/>
    </row>
    <row r="28" spans="3:5" x14ac:dyDescent="0.2">
      <c r="C28" s="192" vm="39">
        <f ca="1"/>
        <v>45688</v>
      </c>
      <c r="D28" s="189" vm="40">
        <f ca="1"/>
        <v>288.7</v>
      </c>
      <c r="E28" s="189"/>
    </row>
    <row r="29" spans="3:5" x14ac:dyDescent="0.2">
      <c r="C29" s="192" vm="41">
        <f ca="1"/>
        <v>45691</v>
      </c>
      <c r="D29" s="189" vm="42">
        <f ca="1"/>
        <v>290.05</v>
      </c>
      <c r="E29" s="189"/>
    </row>
    <row r="30" spans="3:5" x14ac:dyDescent="0.2">
      <c r="C30" s="192" vm="43">
        <f ca="1"/>
        <v>45692</v>
      </c>
      <c r="D30" s="189" vm="44">
        <f ca="1"/>
        <v>289.77</v>
      </c>
      <c r="E30" s="189"/>
    </row>
    <row r="31" spans="3:5" x14ac:dyDescent="0.2">
      <c r="C31" s="192" vm="45">
        <f ca="1"/>
        <v>45693</v>
      </c>
      <c r="D31" s="189" vm="46">
        <f ca="1"/>
        <v>288.83</v>
      </c>
      <c r="E31" s="189"/>
    </row>
    <row r="32" spans="3:5" x14ac:dyDescent="0.2">
      <c r="C32" s="192" vm="47">
        <f ca="1"/>
        <v>45694</v>
      </c>
      <c r="D32" s="189" vm="48">
        <f ca="1"/>
        <v>294.36</v>
      </c>
      <c r="E32" s="189"/>
    </row>
    <row r="33" spans="3:5" x14ac:dyDescent="0.2">
      <c r="C33" s="192" vm="49">
        <f ca="1"/>
        <v>45695</v>
      </c>
      <c r="D33" s="189" vm="50">
        <f ca="1"/>
        <v>294.3</v>
      </c>
      <c r="E33" s="189"/>
    </row>
    <row r="34" spans="3:5" x14ac:dyDescent="0.2">
      <c r="C34" s="192" vm="51">
        <f ca="1"/>
        <v>45698</v>
      </c>
      <c r="D34" s="189" vm="52">
        <f ca="1"/>
        <v>308.42</v>
      </c>
      <c r="E34" s="189"/>
    </row>
    <row r="35" spans="3:5" x14ac:dyDescent="0.2">
      <c r="C35" s="192" vm="53">
        <f ca="1"/>
        <v>45699</v>
      </c>
      <c r="D35" s="189" vm="54">
        <f ca="1"/>
        <v>310.20999999999998</v>
      </c>
      <c r="E35" s="189"/>
    </row>
    <row r="36" spans="3:5" x14ac:dyDescent="0.2">
      <c r="C36" s="192" vm="55">
        <f ca="1"/>
        <v>45700</v>
      </c>
      <c r="D36" s="189" vm="56">
        <f ca="1"/>
        <v>307.60000000000002</v>
      </c>
      <c r="E36" s="189"/>
    </row>
    <row r="37" spans="3:5" x14ac:dyDescent="0.2">
      <c r="C37" s="192" vm="57">
        <f ca="1"/>
        <v>45701</v>
      </c>
      <c r="D37" s="189" vm="58">
        <f ca="1"/>
        <v>310.02</v>
      </c>
      <c r="E37" s="189"/>
    </row>
    <row r="38" spans="3:5" x14ac:dyDescent="0.2">
      <c r="C38" s="192" vm="59">
        <f ca="1"/>
        <v>45702</v>
      </c>
      <c r="D38" s="189" vm="60">
        <f ca="1"/>
        <v>308.55</v>
      </c>
      <c r="E38" s="189"/>
    </row>
    <row r="39" spans="3:5" x14ac:dyDescent="0.2">
      <c r="C39" s="192" vm="61">
        <f ca="1"/>
        <v>45706</v>
      </c>
      <c r="D39" s="189" vm="62">
        <f ca="1"/>
        <v>304.83</v>
      </c>
      <c r="E39" s="189"/>
    </row>
    <row r="40" spans="3:5" x14ac:dyDescent="0.2">
      <c r="C40" s="192" vm="63">
        <f ca="1"/>
        <v>45707</v>
      </c>
      <c r="D40" s="189" vm="64">
        <f ca="1"/>
        <v>301.94</v>
      </c>
      <c r="E40" s="189"/>
    </row>
    <row r="41" spans="3:5" x14ac:dyDescent="0.2">
      <c r="C41" s="192" vm="65">
        <f ca="1"/>
        <v>45708</v>
      </c>
      <c r="D41" s="189" vm="66">
        <f ca="1"/>
        <v>303.05</v>
      </c>
      <c r="E41" s="189"/>
    </row>
    <row r="42" spans="3:5" x14ac:dyDescent="0.2">
      <c r="C42" s="192" vm="67">
        <f ca="1"/>
        <v>45709</v>
      </c>
      <c r="D42" s="189" vm="68">
        <f ca="1"/>
        <v>304.81</v>
      </c>
      <c r="E42" s="189"/>
    </row>
    <row r="43" spans="3:5" x14ac:dyDescent="0.2">
      <c r="C43" s="192" vm="69">
        <f ca="1"/>
        <v>45712</v>
      </c>
      <c r="D43" s="189" vm="70">
        <f ca="1"/>
        <v>307.57</v>
      </c>
      <c r="E43" s="189"/>
    </row>
    <row r="44" spans="3:5" x14ac:dyDescent="0.2">
      <c r="C44" s="192" vm="71">
        <f ca="1"/>
        <v>45713</v>
      </c>
      <c r="D44" s="189" vm="72">
        <f ca="1"/>
        <v>310.72000000000003</v>
      </c>
      <c r="E44" s="189"/>
    </row>
    <row r="45" spans="3:5" x14ac:dyDescent="0.2">
      <c r="C45" s="192" vm="73">
        <f ca="1"/>
        <v>45714</v>
      </c>
      <c r="D45" s="189" vm="74">
        <f ca="1"/>
        <v>304.27</v>
      </c>
      <c r="E45" s="189"/>
    </row>
    <row r="46" spans="3:5" x14ac:dyDescent="0.2">
      <c r="C46" s="192" vm="75">
        <f ca="1"/>
        <v>45715</v>
      </c>
      <c r="D46" s="189" vm="76">
        <f ca="1"/>
        <v>309.95</v>
      </c>
      <c r="E46" s="189"/>
    </row>
    <row r="47" spans="3:5" x14ac:dyDescent="0.2">
      <c r="C47" s="192" vm="77">
        <f ca="1"/>
        <v>45716</v>
      </c>
      <c r="D47" s="189" vm="78">
        <f ca="1"/>
        <v>308.33</v>
      </c>
      <c r="E47" s="189"/>
    </row>
    <row r="48" spans="3:5" x14ac:dyDescent="0.2">
      <c r="C48" s="192" vm="79">
        <f ca="1"/>
        <v>45719</v>
      </c>
      <c r="D48" s="189" vm="80">
        <f ca="1"/>
        <v>304.29000000000002</v>
      </c>
      <c r="E48" s="189"/>
    </row>
    <row r="49" spans="3:5" x14ac:dyDescent="0.2">
      <c r="C49" s="192" vm="81">
        <f ca="1"/>
        <v>45720</v>
      </c>
      <c r="D49" s="189" vm="82">
        <f ca="1"/>
        <v>305.77</v>
      </c>
      <c r="E49" s="189"/>
    </row>
    <row r="50" spans="3:5" x14ac:dyDescent="0.2">
      <c r="C50" s="192" vm="83">
        <f ca="1"/>
        <v>45721</v>
      </c>
      <c r="D50" s="189" vm="84">
        <f ca="1"/>
        <v>307.45</v>
      </c>
      <c r="E50" s="189"/>
    </row>
    <row r="51" spans="3:5" x14ac:dyDescent="0.2">
      <c r="C51" s="192" vm="85">
        <f ca="1"/>
        <v>45722</v>
      </c>
      <c r="D51" s="189" vm="86">
        <f ca="1"/>
        <v>310.37</v>
      </c>
      <c r="E51" s="189"/>
    </row>
    <row r="52" spans="3:5" x14ac:dyDescent="0.2">
      <c r="C52" s="192" vm="87">
        <f ca="1"/>
        <v>45723</v>
      </c>
      <c r="D52" s="189" vm="88">
        <f ca="1"/>
        <v>321.29000000000002</v>
      </c>
      <c r="E52" s="189"/>
    </row>
    <row r="53" spans="3:5" x14ac:dyDescent="0.2">
      <c r="C53" s="192" vm="89">
        <f ca="1"/>
        <v>45726</v>
      </c>
      <c r="D53" s="189" vm="90">
        <f ca="1"/>
        <v>317.25</v>
      </c>
      <c r="E53" s="189"/>
    </row>
    <row r="54" spans="3:5" x14ac:dyDescent="0.2">
      <c r="C54" s="192" vm="91">
        <f ca="1"/>
        <v>45727</v>
      </c>
      <c r="D54" s="189" vm="92">
        <f ca="1"/>
        <v>306.76</v>
      </c>
      <c r="E54" s="189"/>
    </row>
    <row r="55" spans="3:5" x14ac:dyDescent="0.2">
      <c r="C55" s="192" vm="93">
        <f ca="1"/>
        <v>45728</v>
      </c>
      <c r="D55" s="189" vm="94">
        <f ca="1"/>
        <v>299.39999999999998</v>
      </c>
      <c r="E55" s="189"/>
    </row>
    <row r="56" spans="3:5" x14ac:dyDescent="0.2">
      <c r="C56" s="192" vm="95">
        <f ca="1"/>
        <v>45729</v>
      </c>
      <c r="D56" s="189" vm="96">
        <f ca="1"/>
        <v>297.5</v>
      </c>
      <c r="E56" s="189"/>
    </row>
    <row r="57" spans="3:5" x14ac:dyDescent="0.2">
      <c r="C57" s="192" vm="97">
        <f ca="1"/>
        <v>45730</v>
      </c>
      <c r="D57" s="189" vm="98">
        <f ca="1"/>
        <v>299.83</v>
      </c>
      <c r="E57" s="189"/>
    </row>
    <row r="58" spans="3:5" x14ac:dyDescent="0.2">
      <c r="C58" s="192" vm="99">
        <f ca="1"/>
        <v>45733</v>
      </c>
      <c r="D58" s="189" vm="100">
        <f ca="1"/>
        <v>303.97000000000003</v>
      </c>
      <c r="E58" s="189"/>
    </row>
    <row r="59" spans="3:5" x14ac:dyDescent="0.2">
      <c r="C59" s="192" vm="101">
        <f ca="1"/>
        <v>45734</v>
      </c>
      <c r="D59" s="189" vm="102">
        <f ca="1"/>
        <v>303.60000000000002</v>
      </c>
      <c r="E59" s="189"/>
    </row>
    <row r="60" spans="3:5" x14ac:dyDescent="0.2">
      <c r="C60" s="192" vm="103">
        <f ca="1"/>
        <v>45735</v>
      </c>
      <c r="D60" s="189" vm="104">
        <f ca="1"/>
        <v>306.92</v>
      </c>
      <c r="E60" s="189"/>
    </row>
    <row r="61" spans="3:5" x14ac:dyDescent="0.2">
      <c r="C61" s="192" vm="105">
        <f ca="1"/>
        <v>45736</v>
      </c>
      <c r="D61" s="189" vm="106">
        <f ca="1"/>
        <v>307</v>
      </c>
      <c r="E61" s="189"/>
    </row>
    <row r="62" spans="3:5" x14ac:dyDescent="0.2">
      <c r="C62" s="192" vm="107">
        <f ca="1"/>
        <v>45737</v>
      </c>
      <c r="D62" s="189" vm="108">
        <f ca="1"/>
        <v>305.44</v>
      </c>
      <c r="E62" s="189"/>
    </row>
    <row r="63" spans="3:5" x14ac:dyDescent="0.2">
      <c r="C63" s="192" vm="109">
        <f ca="1"/>
        <v>45740</v>
      </c>
      <c r="D63" s="189" vm="110">
        <f ca="1"/>
        <v>305.67</v>
      </c>
      <c r="E63" s="189"/>
    </row>
    <row r="64" spans="3:5" x14ac:dyDescent="0.2">
      <c r="C64" s="192" vm="111">
        <f ca="1"/>
        <v>45741</v>
      </c>
      <c r="D64" s="189" vm="104">
        <f ca="1"/>
        <v>306.92</v>
      </c>
      <c r="E64" s="189"/>
    </row>
    <row r="65" spans="3:5" x14ac:dyDescent="0.2">
      <c r="C65" s="192" vm="112">
        <f ca="1"/>
        <v>45742</v>
      </c>
      <c r="D65" s="189" vm="113">
        <f ca="1"/>
        <v>313.58</v>
      </c>
      <c r="E65" s="189"/>
    </row>
    <row r="66" spans="3:5" x14ac:dyDescent="0.2">
      <c r="C66" s="192" vm="114">
        <f ca="1"/>
        <v>45743</v>
      </c>
      <c r="D66" s="189" vm="115">
        <f ca="1"/>
        <v>312.69</v>
      </c>
      <c r="E66" s="189"/>
    </row>
    <row r="67" spans="3:5" x14ac:dyDescent="0.2">
      <c r="C67" s="192" vm="116">
        <f ca="1"/>
        <v>45744</v>
      </c>
      <c r="D67" s="189" vm="117">
        <f ca="1"/>
        <v>307.08999999999997</v>
      </c>
      <c r="E67" s="189"/>
    </row>
    <row r="68" spans="3:5" x14ac:dyDescent="0.2">
      <c r="C68" s="192" vm="118">
        <f ca="1"/>
        <v>45747</v>
      </c>
      <c r="D68" s="189" vm="119">
        <f ca="1"/>
        <v>312.37</v>
      </c>
      <c r="E68" s="189"/>
    </row>
    <row r="69" spans="3:5" x14ac:dyDescent="0.2">
      <c r="C69" s="192" vm="120">
        <f ca="1"/>
        <v>45748</v>
      </c>
      <c r="D69" s="189" vm="121">
        <f ca="1"/>
        <v>313.63</v>
      </c>
      <c r="E69" s="189"/>
    </row>
    <row r="70" spans="3:5" x14ac:dyDescent="0.2">
      <c r="C70" s="192" vm="122">
        <f ca="1"/>
        <v>45749</v>
      </c>
      <c r="D70" s="189" vm="123">
        <f ca="1"/>
        <v>311.58</v>
      </c>
      <c r="E70" s="189"/>
    </row>
    <row r="71" spans="3:5" x14ac:dyDescent="0.2">
      <c r="C71" s="192" vm="124">
        <f ca="1"/>
        <v>45750</v>
      </c>
      <c r="D71" s="189" vm="125">
        <f ca="1"/>
        <v>318.27</v>
      </c>
      <c r="E71" s="189"/>
    </row>
    <row r="72" spans="3:5" x14ac:dyDescent="0.2">
      <c r="C72" s="192" vm="126">
        <f ca="1"/>
        <v>45751</v>
      </c>
      <c r="D72" s="189" vm="127">
        <f ca="1"/>
        <v>300.11</v>
      </c>
      <c r="E72" s="189"/>
    </row>
    <row r="73" spans="3:5" x14ac:dyDescent="0.2">
      <c r="C73" s="192" vm="128">
        <f ca="1"/>
        <v>45754</v>
      </c>
      <c r="D73" s="189" vm="129">
        <f ca="1"/>
        <v>299.89</v>
      </c>
      <c r="E73" s="189"/>
    </row>
    <row r="74" spans="3:5" x14ac:dyDescent="0.2">
      <c r="C74" s="192" vm="130">
        <f ca="1"/>
        <v>45755</v>
      </c>
      <c r="D74" s="189" vm="98">
        <f ca="1"/>
        <v>299.83</v>
      </c>
      <c r="E74" s="189"/>
    </row>
    <row r="75" spans="3:5" x14ac:dyDescent="0.2">
      <c r="C75" s="192" vm="131">
        <f ca="1"/>
        <v>45756</v>
      </c>
      <c r="D75" s="189" vm="132">
        <f ca="1"/>
        <v>303.95999999999998</v>
      </c>
      <c r="E75" s="189"/>
    </row>
    <row r="76" spans="3:5" x14ac:dyDescent="0.2">
      <c r="C76" s="192" vm="133">
        <f ca="1"/>
        <v>45757</v>
      </c>
      <c r="D76" s="189" vm="134">
        <f ca="1"/>
        <v>306.77999999999997</v>
      </c>
      <c r="E76" s="189"/>
    </row>
    <row r="77" spans="3:5" x14ac:dyDescent="0.2">
      <c r="C77" s="192" vm="135">
        <f ca="1"/>
        <v>45758</v>
      </c>
      <c r="D77" s="189" vm="136">
        <f ca="1"/>
        <v>309.89999999999998</v>
      </c>
      <c r="E77" s="189"/>
    </row>
    <row r="78" spans="3:5" x14ac:dyDescent="0.2">
      <c r="C78" s="192" vm="137">
        <f ca="1"/>
        <v>45761</v>
      </c>
      <c r="D78" s="189" vm="138">
        <f ca="1"/>
        <v>316.07</v>
      </c>
      <c r="E78" s="189"/>
    </row>
    <row r="79" spans="3:5" x14ac:dyDescent="0.2">
      <c r="C79" s="192" vm="139">
        <f ca="1"/>
        <v>45762</v>
      </c>
      <c r="D79" s="189" vm="140">
        <f ca="1"/>
        <v>312.48</v>
      </c>
      <c r="E79" s="189"/>
    </row>
    <row r="80" spans="3:5" x14ac:dyDescent="0.2">
      <c r="C80" s="192" vm="141">
        <f ca="1"/>
        <v>45763</v>
      </c>
      <c r="D80" s="189" vm="142">
        <f ca="1"/>
        <v>309.10000000000002</v>
      </c>
      <c r="E80" s="189"/>
    </row>
    <row r="81" spans="3:5" x14ac:dyDescent="0.2">
      <c r="C81" s="192" vm="143">
        <f ca="1"/>
        <v>45764</v>
      </c>
      <c r="D81" s="189" vm="144">
        <f ca="1"/>
        <v>311.3</v>
      </c>
      <c r="E81" s="189"/>
    </row>
    <row r="82" spans="3:5" x14ac:dyDescent="0.2">
      <c r="C82" s="192" vm="145">
        <f ca="1"/>
        <v>45768</v>
      </c>
      <c r="D82" s="189" vm="146">
        <f ca="1"/>
        <v>308.72000000000003</v>
      </c>
      <c r="E82" s="189"/>
    </row>
    <row r="83" spans="3:5" x14ac:dyDescent="0.2">
      <c r="C83" s="192" vm="147">
        <f ca="1"/>
        <v>45769</v>
      </c>
      <c r="D83" s="189" vm="148">
        <f ca="1"/>
        <v>319.08</v>
      </c>
      <c r="E83" s="189"/>
    </row>
    <row r="84" spans="3:5" x14ac:dyDescent="0.2">
      <c r="C84" s="192" vm="149">
        <f ca="1"/>
        <v>45770</v>
      </c>
      <c r="D84" s="189" vm="150">
        <f ca="1"/>
        <v>318.48</v>
      </c>
      <c r="E84" s="189"/>
    </row>
    <row r="85" spans="3:5" x14ac:dyDescent="0.2">
      <c r="C85" s="192" vm="151">
        <f ca="1"/>
        <v>45771</v>
      </c>
      <c r="D85" s="189" vm="152">
        <f ca="1"/>
        <v>316.22000000000003</v>
      </c>
      <c r="E85" s="189"/>
    </row>
    <row r="86" spans="3:5" x14ac:dyDescent="0.2">
      <c r="C86" s="192" vm="153">
        <f ca="1"/>
        <v>45772</v>
      </c>
      <c r="D86" s="189" vm="154">
        <f ca="1"/>
        <v>316.74</v>
      </c>
      <c r="E86" s="189"/>
    </row>
    <row r="87" spans="3:5" x14ac:dyDescent="0.2">
      <c r="C87" s="192" vm="155">
        <f ca="1"/>
        <v>45775</v>
      </c>
      <c r="D87" s="189" vm="156">
        <f ca="1"/>
        <v>316.81</v>
      </c>
      <c r="E87" s="189"/>
    </row>
    <row r="88" spans="3:5" x14ac:dyDescent="0.2">
      <c r="C88" s="192" vm="157">
        <f ca="1"/>
        <v>45776</v>
      </c>
      <c r="D88" s="189" vm="158">
        <f ca="1"/>
        <v>314.5</v>
      </c>
      <c r="E88" s="189"/>
    </row>
    <row r="89" spans="3:5" x14ac:dyDescent="0.2">
      <c r="C89" s="192" vm="159">
        <f ca="1"/>
        <v>45777</v>
      </c>
      <c r="D89" s="189" vm="160">
        <f ca="1"/>
        <v>319.64999999999998</v>
      </c>
      <c r="E89" s="189"/>
    </row>
    <row r="90" spans="3:5" x14ac:dyDescent="0.2">
      <c r="C90" s="192" vm="161">
        <f ca="1"/>
        <v>45778</v>
      </c>
      <c r="D90" s="189" vm="162">
        <f ca="1"/>
        <v>313.64</v>
      </c>
      <c r="E90" s="189"/>
    </row>
    <row r="91" spans="3:5" x14ac:dyDescent="0.2">
      <c r="C91" s="192" vm="163">
        <f ca="1"/>
        <v>45779</v>
      </c>
      <c r="D91" s="189" vm="164">
        <f ca="1"/>
        <v>311.95999999999998</v>
      </c>
      <c r="E91" s="189"/>
    </row>
    <row r="92" spans="3:5" x14ac:dyDescent="0.2">
      <c r="C92" s="192" vm="165">
        <f ca="1"/>
        <v>45782</v>
      </c>
      <c r="D92" s="189" vm="166">
        <f ca="1"/>
        <v>315.72000000000003</v>
      </c>
      <c r="E92" s="189"/>
    </row>
    <row r="93" spans="3:5" x14ac:dyDescent="0.2">
      <c r="C93" s="192" vm="167">
        <f ca="1"/>
        <v>45783</v>
      </c>
      <c r="D93" s="189" vm="168">
        <f ca="1"/>
        <v>316.79000000000002</v>
      </c>
      <c r="E93" s="189"/>
    </row>
    <row r="94" spans="3:5" x14ac:dyDescent="0.2">
      <c r="C94" s="192" vm="169">
        <f ca="1"/>
        <v>45784</v>
      </c>
      <c r="D94" s="189" vm="170">
        <f ca="1"/>
        <v>318.13</v>
      </c>
      <c r="E94" s="189"/>
    </row>
    <row r="95" spans="3:5" x14ac:dyDescent="0.2">
      <c r="C95" s="192" vm="171">
        <f ca="1"/>
        <v>45785</v>
      </c>
      <c r="D95" s="189" vm="172">
        <f ca="1"/>
        <v>313.49</v>
      </c>
      <c r="E95" s="189"/>
    </row>
    <row r="96" spans="3:5" x14ac:dyDescent="0.2">
      <c r="C96" s="192" vm="173">
        <f ca="1"/>
        <v>45786</v>
      </c>
      <c r="D96" s="189" vm="174">
        <f ca="1"/>
        <v>313.68</v>
      </c>
      <c r="E96" s="189"/>
    </row>
    <row r="97" spans="3:5" x14ac:dyDescent="0.2">
      <c r="C97" s="192" vm="175">
        <f ca="1"/>
        <v>45789</v>
      </c>
      <c r="D97" s="189" vm="176">
        <f ca="1"/>
        <v>311.92</v>
      </c>
      <c r="E97" s="189"/>
    </row>
    <row r="98" spans="3:5" x14ac:dyDescent="0.2">
      <c r="C98" s="192" vm="177">
        <f ca="1"/>
        <v>45790</v>
      </c>
      <c r="D98" s="189" vm="178">
        <f ca="1"/>
        <v>308.69</v>
      </c>
      <c r="E98" s="189"/>
    </row>
    <row r="99" spans="3:5" x14ac:dyDescent="0.2">
      <c r="C99" s="192" vm="179">
        <f ca="1"/>
        <v>45791</v>
      </c>
      <c r="D99" s="189" vm="180">
        <f ca="1"/>
        <v>307.5</v>
      </c>
      <c r="E99" s="189"/>
    </row>
    <row r="100" spans="3:5" x14ac:dyDescent="0.2">
      <c r="C100" s="192" vm="181">
        <f ca="1"/>
        <v>45792</v>
      </c>
      <c r="D100" s="189" vm="182">
        <f ca="1"/>
        <v>314.48</v>
      </c>
      <c r="E100" s="189"/>
    </row>
    <row r="101" spans="3:5" x14ac:dyDescent="0.2">
      <c r="C101" s="192" vm="183">
        <f ca="1"/>
        <v>45793</v>
      </c>
      <c r="D101" s="189" vm="184">
        <f ca="1"/>
        <v>318.61</v>
      </c>
      <c r="E101" s="189"/>
    </row>
    <row r="102" spans="3:5" x14ac:dyDescent="0.2">
      <c r="C102" s="192" vm="185">
        <f ca="1"/>
        <v>45796</v>
      </c>
      <c r="D102" s="189" vm="186">
        <f ca="1"/>
        <v>321.23</v>
      </c>
      <c r="E102" s="189"/>
    </row>
    <row r="103" spans="3:5" x14ac:dyDescent="0.2">
      <c r="C103" s="192" vm="187">
        <f ca="1"/>
        <v>45797</v>
      </c>
      <c r="D103" s="189" vm="188">
        <f ca="1"/>
        <v>319.8</v>
      </c>
      <c r="E103" s="189"/>
    </row>
    <row r="104" spans="3:5" x14ac:dyDescent="0.2">
      <c r="C104" s="192" vm="189">
        <f ca="1"/>
        <v>45798</v>
      </c>
      <c r="D104" s="189" vm="190">
        <f ca="1"/>
        <v>316.44</v>
      </c>
      <c r="E104" s="189"/>
    </row>
    <row r="105" spans="3:5" x14ac:dyDescent="0.2">
      <c r="C105" s="192" vm="191">
        <f ca="1"/>
        <v>45799</v>
      </c>
      <c r="D105" s="189" vm="192">
        <f ca="1"/>
        <v>314.31</v>
      </c>
      <c r="E105" s="189"/>
    </row>
    <row r="106" spans="3:5" x14ac:dyDescent="0.2">
      <c r="C106" s="192" vm="193">
        <f ca="1"/>
        <v>45800</v>
      </c>
      <c r="D106" s="189" vm="194">
        <f ca="1"/>
        <v>314.57</v>
      </c>
      <c r="E106" s="189"/>
    </row>
    <row r="107" spans="3:5" x14ac:dyDescent="0.2">
      <c r="C107" s="192" vm="195">
        <f ca="1"/>
        <v>45804</v>
      </c>
      <c r="D107" s="189" vm="196">
        <f ca="1"/>
        <v>314.95</v>
      </c>
      <c r="E107" s="189"/>
    </row>
    <row r="108" spans="3:5" x14ac:dyDescent="0.2">
      <c r="C108" s="192" vm="197">
        <f ca="1"/>
        <v>45805</v>
      </c>
      <c r="D108" s="189" vm="198">
        <f ca="1"/>
        <v>312.83999999999997</v>
      </c>
      <c r="E108" s="189"/>
    </row>
    <row r="109" spans="3:5" x14ac:dyDescent="0.2">
      <c r="C109" s="192" vm="199">
        <f ca="1"/>
        <v>45806</v>
      </c>
      <c r="D109" s="189" vm="200">
        <f ca="1"/>
        <v>311.86</v>
      </c>
      <c r="E109" s="189"/>
    </row>
    <row r="110" spans="3:5" x14ac:dyDescent="0.2">
      <c r="C110" s="192" vm="201">
        <f ca="1"/>
        <v>45807</v>
      </c>
      <c r="D110" s="189" vm="202">
        <f ca="1"/>
        <v>313.85000000000002</v>
      </c>
      <c r="E110" s="189"/>
    </row>
    <row r="111" spans="3:5" x14ac:dyDescent="0.2">
      <c r="C111" s="192" vm="203">
        <f ca="1"/>
        <v>45810</v>
      </c>
      <c r="D111" s="189" vm="204">
        <f ca="1"/>
        <v>312.68</v>
      </c>
      <c r="E111" s="189"/>
    </row>
    <row r="112" spans="3:5" x14ac:dyDescent="0.2">
      <c r="C112" s="192" vm="205">
        <f ca="1"/>
        <v>45811</v>
      </c>
      <c r="D112" s="189" vm="206">
        <f ca="1"/>
        <v>312.39</v>
      </c>
      <c r="E112" s="189"/>
    </row>
    <row r="113" spans="3:5" x14ac:dyDescent="0.2">
      <c r="C113" s="192" vm="207">
        <f ca="1"/>
        <v>45812</v>
      </c>
      <c r="D113" s="189" vm="208">
        <f ca="1"/>
        <v>311.57</v>
      </c>
      <c r="E113" s="189"/>
    </row>
    <row r="114" spans="3:5" x14ac:dyDescent="0.2">
      <c r="C114" s="192" vm="209">
        <f ca="1"/>
        <v>45813</v>
      </c>
      <c r="D114" s="189" vm="210">
        <f ca="1"/>
        <v>308.98</v>
      </c>
      <c r="E114" s="189"/>
    </row>
    <row r="115" spans="3:5" x14ac:dyDescent="0.2">
      <c r="C115" s="192" vm="211">
        <f ca="1"/>
        <v>45814</v>
      </c>
      <c r="D115" s="189" vm="212">
        <f ca="1"/>
        <v>307.36</v>
      </c>
      <c r="E115" s="189"/>
    </row>
    <row r="116" spans="3:5" x14ac:dyDescent="0.2">
      <c r="C116" s="192" vm="213">
        <f ca="1"/>
        <v>45817</v>
      </c>
      <c r="D116" s="189" vm="214">
        <f ca="1"/>
        <v>304.77999999999997</v>
      </c>
      <c r="E116" s="189"/>
    </row>
    <row r="117" spans="3:5" x14ac:dyDescent="0.2">
      <c r="C117" s="192" vm="215">
        <f ca="1"/>
        <v>45818</v>
      </c>
      <c r="D117" s="189" vm="216">
        <f ca="1"/>
        <v>300.43</v>
      </c>
      <c r="E117" s="189"/>
    </row>
    <row r="118" spans="3:5" x14ac:dyDescent="0.2">
      <c r="C118" s="192" vm="217">
        <f ca="1"/>
        <v>45819</v>
      </c>
      <c r="D118" s="189" vm="218">
        <f ca="1"/>
        <v>301.72000000000003</v>
      </c>
      <c r="E118" s="189"/>
    </row>
    <row r="119" spans="3:5" x14ac:dyDescent="0.2">
      <c r="C119" s="192" vm="219">
        <f ca="1"/>
        <v>45820</v>
      </c>
      <c r="D119" s="189" vm="220">
        <f ca="1"/>
        <v>303.16000000000003</v>
      </c>
      <c r="E119" s="189"/>
    </row>
    <row r="120" spans="3:5" x14ac:dyDescent="0.2">
      <c r="C120" s="192" vm="221">
        <f ca="1"/>
        <v>45821</v>
      </c>
      <c r="D120" s="189" vm="222">
        <f ca="1"/>
        <v>301.91000000000003</v>
      </c>
      <c r="E120" s="189"/>
    </row>
    <row r="121" spans="3:5" x14ac:dyDescent="0.2">
      <c r="C121" s="192" vm="223">
        <f ca="1"/>
        <v>45824</v>
      </c>
      <c r="D121" s="189" vm="224">
        <f ca="1"/>
        <v>296.29000000000002</v>
      </c>
      <c r="E121" s="189"/>
    </row>
    <row r="122" spans="3:5" x14ac:dyDescent="0.2">
      <c r="C122" s="192" vm="225">
        <f ca="1"/>
        <v>45825</v>
      </c>
      <c r="D122" s="189" vm="226">
        <f ca="1"/>
        <v>292.31</v>
      </c>
      <c r="E122" s="189"/>
    </row>
    <row r="123" spans="3:5" x14ac:dyDescent="0.2">
      <c r="C123" s="192" vm="227">
        <f ca="1"/>
        <v>45826</v>
      </c>
      <c r="D123" s="189" vm="228">
        <f ca="1"/>
        <v>289.63</v>
      </c>
      <c r="E123" s="189"/>
    </row>
    <row r="124" spans="3:5" x14ac:dyDescent="0.2">
      <c r="C124" s="192" vm="229">
        <f ca="1"/>
        <v>45828</v>
      </c>
      <c r="D124" s="189" vm="230">
        <f ca="1"/>
        <v>287.45999999999998</v>
      </c>
      <c r="E124" s="189"/>
    </row>
    <row r="125" spans="3:5" x14ac:dyDescent="0.2">
      <c r="C125" s="192" vm="231">
        <f ca="1"/>
        <v>45831</v>
      </c>
      <c r="D125" s="189" vm="232">
        <f ca="1"/>
        <v>289.52</v>
      </c>
      <c r="E125" s="189"/>
    </row>
    <row r="126" spans="3:5" x14ac:dyDescent="0.2">
      <c r="C126" s="192" vm="233">
        <f ca="1"/>
        <v>45832</v>
      </c>
      <c r="D126" s="189" vm="234">
        <f ca="1"/>
        <v>291.47000000000003</v>
      </c>
      <c r="E126" s="189"/>
    </row>
    <row r="127" spans="3:5" x14ac:dyDescent="0.2">
      <c r="C127" s="192" vm="235">
        <f ca="1"/>
        <v>45833</v>
      </c>
      <c r="D127" s="189" vm="236">
        <f ca="1"/>
        <v>285.55</v>
      </c>
      <c r="E127" s="189"/>
    </row>
    <row r="128" spans="3:5" x14ac:dyDescent="0.2">
      <c r="C128" s="192" vm="237">
        <f ca="1"/>
        <v>45834</v>
      </c>
      <c r="D128" s="189" vm="238">
        <f ca="1"/>
        <v>285.63</v>
      </c>
      <c r="E128" s="189"/>
    </row>
    <row r="129" spans="3:5" x14ac:dyDescent="0.2">
      <c r="C129" s="192" vm="239">
        <f ca="1"/>
        <v>45835</v>
      </c>
      <c r="D129" s="189" vm="240">
        <f ca="1"/>
        <v>291.55</v>
      </c>
      <c r="E129" s="189"/>
    </row>
    <row r="130" spans="3:5" x14ac:dyDescent="0.2">
      <c r="C130" s="192" vm="241">
        <f ca="1"/>
        <v>45838</v>
      </c>
      <c r="D130" s="189" vm="242">
        <f ca="1"/>
        <v>292.17</v>
      </c>
      <c r="E130" s="189"/>
    </row>
    <row r="131" spans="3:5" x14ac:dyDescent="0.2">
      <c r="C131" s="192" vm="243">
        <f ca="1"/>
        <v>45839</v>
      </c>
      <c r="D131" s="189" vm="244">
        <f ca="1"/>
        <v>297.49</v>
      </c>
      <c r="E131" s="189"/>
    </row>
    <row r="132" spans="3:5" x14ac:dyDescent="0.2">
      <c r="C132" s="192" vm="245">
        <f ca="1"/>
        <v>45840</v>
      </c>
      <c r="D132" s="189" vm="246">
        <f ca="1"/>
        <v>294.63</v>
      </c>
      <c r="E132" s="189"/>
    </row>
    <row r="133" spans="3:5" x14ac:dyDescent="0.2">
      <c r="C133" s="192" vm="247">
        <f ca="1"/>
        <v>45841</v>
      </c>
      <c r="D133" s="189" vm="248">
        <f ca="1"/>
        <v>294.08</v>
      </c>
      <c r="E133" s="189"/>
    </row>
    <row r="134" spans="3:5" x14ac:dyDescent="0.2">
      <c r="C134" s="192" vm="249">
        <f ca="1"/>
        <v>45845</v>
      </c>
      <c r="D134" s="189" vm="250">
        <f ca="1"/>
        <v>293.52999999999997</v>
      </c>
      <c r="E134" s="189"/>
    </row>
    <row r="135" spans="3:5" x14ac:dyDescent="0.2">
      <c r="C135" s="192" vm="251">
        <f ca="1"/>
        <v>45846</v>
      </c>
      <c r="D135" s="189" vm="252">
        <f ca="1"/>
        <v>291.67</v>
      </c>
      <c r="E135" s="189"/>
    </row>
    <row r="136" spans="3:5" x14ac:dyDescent="0.2">
      <c r="C136" s="192" vm="253">
        <f ca="1"/>
        <v>45847</v>
      </c>
      <c r="D136" s="189" vm="254">
        <f ca="1"/>
        <v>293.02</v>
      </c>
      <c r="E136" s="189"/>
    </row>
    <row r="137" spans="3:5" x14ac:dyDescent="0.2">
      <c r="C137" s="192" vm="255">
        <f ca="1"/>
        <v>45848</v>
      </c>
      <c r="D137" s="189" vm="256">
        <f ca="1"/>
        <v>298.39</v>
      </c>
      <c r="E137" s="189"/>
    </row>
    <row r="138" spans="3:5" x14ac:dyDescent="0.2">
      <c r="C138" s="192" vm="257">
        <f ca="1"/>
        <v>45849</v>
      </c>
      <c r="D138" s="189" vm="258">
        <f ca="1"/>
        <v>299.91000000000003</v>
      </c>
      <c r="E138" s="189"/>
    </row>
    <row r="139" spans="3:5" x14ac:dyDescent="0.2">
      <c r="C139" s="192" vm="259">
        <f ca="1"/>
        <v>45852</v>
      </c>
      <c r="D139" s="189" vm="260">
        <f ca="1"/>
        <v>301.88</v>
      </c>
      <c r="E139" s="189"/>
    </row>
    <row r="140" spans="3:5" x14ac:dyDescent="0.2">
      <c r="C140" s="192" vm="261">
        <f ca="1"/>
        <v>45853</v>
      </c>
      <c r="D140" s="189" vm="262">
        <f ca="1"/>
        <v>299.62</v>
      </c>
      <c r="E140" s="189"/>
    </row>
    <row r="141" spans="3:5" x14ac:dyDescent="0.2">
      <c r="C141" s="192" vm="263">
        <f ca="1"/>
        <v>45854</v>
      </c>
      <c r="D141" s="189" vm="264">
        <f ca="1"/>
        <v>298.89999999999998</v>
      </c>
      <c r="E141" s="189"/>
    </row>
    <row r="142" spans="3:5" x14ac:dyDescent="0.2">
      <c r="C142" s="192" vm="265">
        <f ca="1"/>
        <v>45855</v>
      </c>
      <c r="D142" s="189" vm="266">
        <f ca="1"/>
        <v>300.37</v>
      </c>
      <c r="E142" s="189"/>
    </row>
    <row r="143" spans="3:5" x14ac:dyDescent="0.2">
      <c r="C143" s="192" vm="267">
        <f ca="1"/>
        <v>45856</v>
      </c>
      <c r="D143" s="189" vm="268">
        <f ca="1"/>
        <v>297.07</v>
      </c>
      <c r="E143" s="189"/>
    </row>
    <row r="144" spans="3:5" x14ac:dyDescent="0.2">
      <c r="C144" s="192" vm="269">
        <f ca="1"/>
        <v>45859</v>
      </c>
      <c r="D144" s="189" vm="270">
        <f ca="1"/>
        <v>295.74</v>
      </c>
      <c r="E144" s="189"/>
    </row>
    <row r="145" spans="3:5" x14ac:dyDescent="0.2">
      <c r="C145" s="192" vm="271">
        <f ca="1"/>
        <v>45860</v>
      </c>
      <c r="D145" s="189" vm="272">
        <f ca="1"/>
        <v>299.17</v>
      </c>
      <c r="E145" s="189"/>
    </row>
    <row r="146" spans="3:5" x14ac:dyDescent="0.2">
      <c r="C146" s="192" vm="273">
        <f ca="1"/>
        <v>45861</v>
      </c>
      <c r="D146" s="189" vm="274">
        <f ca="1"/>
        <v>298.12</v>
      </c>
      <c r="E146" s="189"/>
    </row>
    <row r="147" spans="3:5" x14ac:dyDescent="0.2">
      <c r="C147" s="192" vm="275">
        <f ca="1"/>
        <v>45862</v>
      </c>
      <c r="D147" s="189" vm="276">
        <f ca="1"/>
        <v>294.48</v>
      </c>
      <c r="E147" s="189"/>
    </row>
    <row r="148" spans="3:5" x14ac:dyDescent="0.2">
      <c r="C148" s="192" vm="277">
        <f ca="1"/>
        <v>45863</v>
      </c>
      <c r="D148" s="189" vm="278">
        <f ca="1"/>
        <v>298.47000000000003</v>
      </c>
      <c r="E148" s="189"/>
    </row>
    <row r="149" spans="3:5" x14ac:dyDescent="0.2">
      <c r="C149" s="192" vm="279">
        <f ca="1"/>
        <v>45866</v>
      </c>
      <c r="D149" s="189" vm="280">
        <f ca="1"/>
        <v>299.22000000000003</v>
      </c>
      <c r="E149" s="189"/>
    </row>
    <row r="150" spans="3:5" x14ac:dyDescent="0.2">
      <c r="C150" s="192" vm="281">
        <f ca="1"/>
        <v>45867</v>
      </c>
      <c r="D150" s="189" vm="282">
        <f ca="1"/>
        <v>302.67</v>
      </c>
      <c r="E150" s="189"/>
    </row>
    <row r="151" spans="3:5" x14ac:dyDescent="0.2">
      <c r="C151" s="192" vm="283">
        <f ca="1"/>
        <v>45868</v>
      </c>
      <c r="D151" s="189" vm="284">
        <f ca="1"/>
        <v>303.61</v>
      </c>
      <c r="E151" s="189"/>
    </row>
    <row r="152" spans="3:5" x14ac:dyDescent="0.2">
      <c r="C152" s="192" vm="285">
        <f ca="1"/>
        <v>45869</v>
      </c>
      <c r="D152" s="189" vm="286">
        <f ca="1"/>
        <v>300.07</v>
      </c>
      <c r="E152" s="189"/>
    </row>
    <row r="153" spans="3:5" x14ac:dyDescent="0.2">
      <c r="C153" s="192" vm="287">
        <f ca="1"/>
        <v>45870</v>
      </c>
      <c r="D153" s="189" vm="288">
        <f ca="1"/>
        <v>302.89</v>
      </c>
      <c r="E153" s="189"/>
    </row>
    <row r="154" spans="3:5" x14ac:dyDescent="0.2">
      <c r="C154" s="192" vm="289">
        <f ca="1"/>
        <v>45873</v>
      </c>
      <c r="D154" s="189" vm="290">
        <f ca="1"/>
        <v>304.23</v>
      </c>
      <c r="E154" s="189"/>
    </row>
    <row r="155" spans="3:5" x14ac:dyDescent="0.2">
      <c r="C155" s="192" vm="291">
        <f ca="1"/>
        <v>45874</v>
      </c>
      <c r="D155" s="189" vm="292">
        <f ca="1"/>
        <v>298.77</v>
      </c>
      <c r="E155" s="189"/>
    </row>
    <row r="156" spans="3:5" x14ac:dyDescent="0.2">
      <c r="C156" s="192" vm="293">
        <f ca="1"/>
        <v>45875</v>
      </c>
      <c r="D156" s="189" vm="294">
        <f ca="1"/>
        <v>307.66000000000003</v>
      </c>
      <c r="E156" s="189"/>
    </row>
    <row r="157" spans="3:5" x14ac:dyDescent="0.2">
      <c r="C157" s="192" vm="295">
        <f ca="1"/>
        <v>45876</v>
      </c>
      <c r="D157" s="189" vm="296">
        <f ca="1"/>
        <v>307.91000000000003</v>
      </c>
      <c r="E157" s="189"/>
    </row>
    <row r="158" spans="3:5" x14ac:dyDescent="0.2">
      <c r="C158" s="192" vm="297">
        <f ca="1"/>
        <v>45877</v>
      </c>
      <c r="D158" s="189" vm="298">
        <f ca="1"/>
        <v>305.45</v>
      </c>
      <c r="E158" s="189"/>
    </row>
    <row r="159" spans="3:5" x14ac:dyDescent="0.2">
      <c r="C159" s="192" vm="299">
        <f ca="1"/>
        <v>45880</v>
      </c>
      <c r="D159" s="189" vm="300">
        <f ca="1"/>
        <v>304.36</v>
      </c>
      <c r="E159" s="189"/>
    </row>
    <row r="160" spans="3:5" x14ac:dyDescent="0.2">
      <c r="C160" s="192" vm="301">
        <f ca="1"/>
        <v>45881</v>
      </c>
      <c r="D160" s="189" vm="302">
        <f ca="1"/>
        <v>301.64</v>
      </c>
      <c r="E160" s="189"/>
    </row>
    <row r="161" spans="3:5" x14ac:dyDescent="0.2">
      <c r="C161" s="192" vm="303">
        <f ca="1"/>
        <v>45882</v>
      </c>
      <c r="D161" s="189" vm="304">
        <f ca="1"/>
        <v>305.07</v>
      </c>
      <c r="E161" s="189"/>
    </row>
    <row r="162" spans="3:5" x14ac:dyDescent="0.2">
      <c r="C162" s="192" vm="305">
        <f ca="1"/>
        <v>45883</v>
      </c>
      <c r="D162" s="189" vm="306">
        <f ca="1"/>
        <v>308.95</v>
      </c>
      <c r="E162" s="189"/>
    </row>
    <row r="163" spans="3:5" x14ac:dyDescent="0.2">
      <c r="C163" s="192" vm="307">
        <f ca="1"/>
        <v>45884</v>
      </c>
      <c r="D163" s="189" vm="308">
        <f ca="1"/>
        <v>308.93</v>
      </c>
      <c r="E163" s="189"/>
    </row>
    <row r="164" spans="3:5" x14ac:dyDescent="0.2">
      <c r="C164" s="192" vm="309">
        <f ca="1"/>
        <v>45887</v>
      </c>
      <c r="D164" s="189" vm="310">
        <f ca="1"/>
        <v>308.7</v>
      </c>
      <c r="E164" s="189"/>
    </row>
    <row r="165" spans="3:5" x14ac:dyDescent="0.2">
      <c r="C165" s="192" vm="311">
        <f ca="1"/>
        <v>45888</v>
      </c>
      <c r="D165" s="189" vm="312">
        <f ca="1"/>
        <v>310.93</v>
      </c>
      <c r="E165" s="189"/>
    </row>
    <row r="166" spans="3:5" x14ac:dyDescent="0.2">
      <c r="C166" s="192" vm="313">
        <f ca="1"/>
        <v>45889</v>
      </c>
      <c r="D166" s="189" vm="314">
        <f ca="1"/>
        <v>313.08</v>
      </c>
      <c r="E166" s="189"/>
    </row>
    <row r="167" spans="3:5" x14ac:dyDescent="0.2">
      <c r="C167" s="192" vm="315">
        <f ca="1"/>
        <v>45890</v>
      </c>
      <c r="D167" s="189" vm="316">
        <f ca="1"/>
        <v>313.22000000000003</v>
      </c>
      <c r="E167" s="189"/>
    </row>
    <row r="168" spans="3:5" x14ac:dyDescent="0.2">
      <c r="C168" s="192" vm="317">
        <f ca="1"/>
        <v>45891</v>
      </c>
      <c r="D168" s="189" vm="318">
        <f ca="1"/>
        <v>314.07</v>
      </c>
      <c r="E168" s="189"/>
    </row>
    <row r="169" spans="3:5" x14ac:dyDescent="0.2">
      <c r="C169" s="192" vm="319">
        <f ca="1"/>
        <v>45894</v>
      </c>
      <c r="D169" s="189" vm="320">
        <f ca="1"/>
        <v>313.44</v>
      </c>
      <c r="E169" s="189"/>
    </row>
    <row r="170" spans="3:5" x14ac:dyDescent="0.2">
      <c r="C170" s="192" vm="321">
        <f ca="1"/>
        <v>45895</v>
      </c>
      <c r="D170" s="189" vm="322">
        <f ca="1"/>
        <v>312.94</v>
      </c>
      <c r="E170" s="189"/>
    </row>
    <row r="171" spans="3:5" x14ac:dyDescent="0.2">
      <c r="C171" s="192" vm="323">
        <f ca="1"/>
        <v>45896</v>
      </c>
      <c r="D171" s="189" vm="324">
        <f ca="1"/>
        <v>311.43</v>
      </c>
      <c r="E171" s="189"/>
    </row>
    <row r="172" spans="3:5" x14ac:dyDescent="0.2">
      <c r="C172" s="192" vm="325">
        <f ca="1"/>
        <v>45897</v>
      </c>
      <c r="D172" s="189" vm="326">
        <f ca="1"/>
        <v>312.22000000000003</v>
      </c>
      <c r="E172" s="189"/>
    </row>
    <row r="173" spans="3:5" x14ac:dyDescent="0.2">
      <c r="C173" s="192" vm="327">
        <f ca="1"/>
        <v>45898</v>
      </c>
      <c r="D173" s="189" vm="328">
        <f ca="1"/>
        <v>313.54000000000002</v>
      </c>
      <c r="E173" s="189"/>
    </row>
    <row r="174" spans="3:5" x14ac:dyDescent="0.2">
      <c r="C174" s="192" vm="329">
        <f ca="1"/>
        <v>45902</v>
      </c>
      <c r="D174" s="189" vm="330">
        <f ca="1"/>
        <v>315.76</v>
      </c>
      <c r="E174" s="189"/>
    </row>
    <row r="175" spans="3:5" x14ac:dyDescent="0.2">
      <c r="C175" s="192" vm="331">
        <f ca="1"/>
        <v>45903</v>
      </c>
      <c r="D175" s="189" vm="332">
        <f ca="1"/>
        <v>316.39</v>
      </c>
      <c r="E175" s="189"/>
    </row>
    <row r="176" spans="3:5" x14ac:dyDescent="0.2">
      <c r="C176" s="192" vm="333">
        <f ca="1"/>
        <v>45904</v>
      </c>
      <c r="D176" s="189" vm="334">
        <f ca="1"/>
        <v>316.99</v>
      </c>
      <c r="E176" s="189"/>
    </row>
    <row r="177" spans="3:5" x14ac:dyDescent="0.2">
      <c r="C177" s="192" vm="335">
        <f ca="1"/>
        <v>45905</v>
      </c>
      <c r="D177" s="189" vm="336">
        <f ca="1"/>
        <v>314.38</v>
      </c>
      <c r="E177" s="189"/>
    </row>
    <row r="178" spans="3:5" x14ac:dyDescent="0.2">
      <c r="C178" s="192" vm="337">
        <f ca="1"/>
        <v>45908</v>
      </c>
      <c r="D178" s="189" vm="338">
        <f ca="1"/>
        <v>312.8</v>
      </c>
      <c r="E178" s="189"/>
    </row>
    <row r="179" spans="3:5" x14ac:dyDescent="0.2">
      <c r="C179" s="192" vm="339">
        <f ca="1"/>
        <v>45909</v>
      </c>
      <c r="D179" s="189" vm="340">
        <f ca="1"/>
        <v>312.52</v>
      </c>
      <c r="E179" s="189"/>
    </row>
    <row r="180" spans="3:5" x14ac:dyDescent="0.2">
      <c r="C180" s="192" vm="341">
        <f ca="1"/>
        <v>45910</v>
      </c>
      <c r="D180" s="189" vm="342">
        <f ca="1"/>
        <v>305.94</v>
      </c>
      <c r="E180" s="189"/>
    </row>
    <row r="181" spans="3:5" x14ac:dyDescent="0.2">
      <c r="C181" s="192" vm="343">
        <f ca="1"/>
        <v>45911</v>
      </c>
      <c r="D181" s="189" vm="344">
        <f ca="1"/>
        <v>308.43</v>
      </c>
      <c r="E181" s="189"/>
    </row>
    <row r="182" spans="3:5" x14ac:dyDescent="0.2">
      <c r="C182" s="192" vm="345">
        <f ca="1"/>
        <v>45912</v>
      </c>
      <c r="D182" s="189" vm="346">
        <f ca="1"/>
        <v>305.39999999999998</v>
      </c>
      <c r="E182" s="189"/>
    </row>
    <row r="183" spans="3:5" x14ac:dyDescent="0.2">
      <c r="C183" s="192" vm="347">
        <f ca="1"/>
        <v>45915</v>
      </c>
      <c r="D183" s="189" vm="348">
        <f ca="1"/>
        <v>302.07</v>
      </c>
      <c r="E183" s="189"/>
    </row>
    <row r="184" spans="3:5" x14ac:dyDescent="0.2">
      <c r="C184" s="192" vm="349">
        <f ca="1"/>
        <v>45916</v>
      </c>
      <c r="D184" s="189" vm="350">
        <f ca="1"/>
        <v>303.29000000000002</v>
      </c>
      <c r="E184" s="189"/>
    </row>
    <row r="185" spans="3:5" x14ac:dyDescent="0.2">
      <c r="C185" s="192" vm="351">
        <f ca="1"/>
        <v>45917</v>
      </c>
      <c r="D185" s="189" vm="352">
        <f ca="1"/>
        <v>304.97000000000003</v>
      </c>
      <c r="E185" s="189"/>
    </row>
    <row r="186" spans="3:5" x14ac:dyDescent="0.2">
      <c r="C186" s="192" vm="353">
        <f ca="1"/>
        <v>45918</v>
      </c>
      <c r="D186" s="189" vm="354">
        <f ca="1"/>
        <v>301.14</v>
      </c>
      <c r="E186" s="189"/>
    </row>
    <row r="187" spans="3:5" x14ac:dyDescent="0.2">
      <c r="C187" s="192" vm="355">
        <f ca="1"/>
        <v>45919</v>
      </c>
      <c r="D187" s="189" vm="356">
        <f ca="1"/>
        <v>302.38</v>
      </c>
      <c r="E187" s="189"/>
    </row>
    <row r="188" spans="3:5" x14ac:dyDescent="0.2">
      <c r="C188" s="192" vm="357">
        <f ca="1"/>
        <v>45922</v>
      </c>
      <c r="D188" s="189" vm="358">
        <f ca="1"/>
        <v>302.99</v>
      </c>
      <c r="E188" s="189"/>
    </row>
    <row r="189" spans="3:5" x14ac:dyDescent="0.2">
      <c r="C189" s="192" vm="359">
        <f ca="1"/>
        <v>45923</v>
      </c>
      <c r="D189" s="189" vm="360">
        <f ca="1"/>
        <v>303.19</v>
      </c>
      <c r="E189" s="189"/>
    </row>
    <row r="190" spans="3:5" x14ac:dyDescent="0.2">
      <c r="C190" s="192" vm="361">
        <f ca="1"/>
        <v>45924</v>
      </c>
      <c r="D190" s="189" vm="362">
        <f ca="1"/>
        <v>304.33</v>
      </c>
      <c r="E190" s="189"/>
    </row>
    <row r="191" spans="3:5" x14ac:dyDescent="0.2">
      <c r="C191" s="192" vm="363">
        <f ca="1"/>
        <v>45925</v>
      </c>
      <c r="D191" s="189" vm="364">
        <f ca="1"/>
        <v>302.3</v>
      </c>
      <c r="E191" s="189"/>
    </row>
    <row r="192" spans="3:5" x14ac:dyDescent="0.2">
      <c r="C192" s="192" vm="365">
        <f ca="1"/>
        <v>45926</v>
      </c>
      <c r="D192" s="189" vm="366">
        <f ca="1"/>
        <v>305.24</v>
      </c>
      <c r="E192" s="189"/>
    </row>
    <row r="193" spans="3:5" x14ac:dyDescent="0.2">
      <c r="C193" s="192" vm="367">
        <f ca="1"/>
        <v>45929</v>
      </c>
      <c r="D193" s="189" vm="358">
        <f ca="1"/>
        <v>302.99</v>
      </c>
      <c r="E193" s="189"/>
    </row>
    <row r="194" spans="3:5" x14ac:dyDescent="0.2">
      <c r="C194" s="192" vm="368">
        <f ca="1"/>
        <v>45930</v>
      </c>
      <c r="D194" s="189" vm="369">
        <f ca="1"/>
        <v>303.89</v>
      </c>
      <c r="E194" s="189"/>
    </row>
    <row r="195" spans="3:5" x14ac:dyDescent="0.2">
      <c r="C195" s="192" vm="370">
        <f ca="1"/>
        <v>45931</v>
      </c>
      <c r="D195" s="189" vm="371">
        <f ca="1"/>
        <v>300.52</v>
      </c>
      <c r="E195" s="189"/>
    </row>
    <row r="196" spans="3:5" x14ac:dyDescent="0.2">
      <c r="C196" s="192" vm="372">
        <f ca="1"/>
        <v>45932</v>
      </c>
      <c r="D196" s="189" vm="373">
        <f ca="1"/>
        <v>299.88</v>
      </c>
      <c r="E196" s="189"/>
    </row>
    <row r="197" spans="3:5" x14ac:dyDescent="0.2">
      <c r="C197" s="192" vm="374">
        <f ca="1"/>
        <v>45933</v>
      </c>
      <c r="D197" s="189" vm="375">
        <f ca="1"/>
        <v>300.98</v>
      </c>
      <c r="E197" s="189"/>
    </row>
    <row r="198" spans="3:5" x14ac:dyDescent="0.2">
      <c r="C198" s="192" vm="376">
        <f ca="1"/>
        <v>45936</v>
      </c>
      <c r="D198" s="189" vm="377">
        <f ca="1"/>
        <v>296.04000000000002</v>
      </c>
      <c r="E198" s="189"/>
    </row>
    <row r="199" spans="3:5" x14ac:dyDescent="0.2">
      <c r="C199" s="192" vm="378">
        <f ca="1"/>
        <v>45937</v>
      </c>
      <c r="D199" s="189" vm="379">
        <f ca="1"/>
        <v>296.32</v>
      </c>
      <c r="E199" s="189"/>
    </row>
    <row r="200" spans="3:5" x14ac:dyDescent="0.2">
      <c r="C200" s="192" vm="380">
        <f ca="1"/>
        <v>45938</v>
      </c>
      <c r="D200" s="189" vm="381">
        <f ca="1"/>
        <v>294.39999999999998</v>
      </c>
      <c r="E200" s="189"/>
    </row>
    <row r="201" spans="3:5" x14ac:dyDescent="0.2">
      <c r="C201" s="192" vm="382">
        <f ca="1"/>
        <v>45939</v>
      </c>
      <c r="D201" s="189" vm="383">
        <f ca="1"/>
        <v>293.81</v>
      </c>
      <c r="E201" s="189"/>
    </row>
    <row r="202" spans="3:5" x14ac:dyDescent="0.2">
      <c r="C202" s="192" vm="384">
        <f ca="1"/>
        <v>45940</v>
      </c>
      <c r="D202" s="189" vm="385">
        <f ca="1"/>
        <v>297.01</v>
      </c>
      <c r="E202" s="189"/>
    </row>
    <row r="203" spans="3:5" x14ac:dyDescent="0.2">
      <c r="C203" s="192" vm="386">
        <f ca="1"/>
        <v>45943</v>
      </c>
      <c r="D203" s="189" vm="127">
        <f ca="1"/>
        <v>300.11</v>
      </c>
      <c r="E203" s="189"/>
    </row>
    <row r="204" spans="3:5" x14ac:dyDescent="0.2">
      <c r="C204" s="192" vm="387">
        <f ca="1"/>
        <v>45944</v>
      </c>
      <c r="D204" s="189" vm="388">
        <f ca="1"/>
        <v>304.56</v>
      </c>
      <c r="E204" s="189"/>
    </row>
    <row r="205" spans="3:5" x14ac:dyDescent="0.2">
      <c r="C205" s="192" vm="389">
        <f ca="1"/>
        <v>45945</v>
      </c>
      <c r="D205" s="189" vm="390">
        <f ca="1"/>
        <v>305.25</v>
      </c>
      <c r="E205" s="189"/>
    </row>
    <row r="206" spans="3:5" x14ac:dyDescent="0.2">
      <c r="C206" s="192" vm="391">
        <f ca="1"/>
        <v>45946</v>
      </c>
      <c r="D206" s="189" vm="392">
        <f ca="1"/>
        <v>305.33</v>
      </c>
      <c r="E206" s="189"/>
    </row>
    <row r="207" spans="3:5" x14ac:dyDescent="0.2">
      <c r="C207" s="192" vm="393">
        <f ca="1"/>
        <v>45947</v>
      </c>
      <c r="D207" s="189" vm="394">
        <f ca="1"/>
        <v>308.08999999999997</v>
      </c>
      <c r="E207" s="189"/>
    </row>
    <row r="208" spans="3:5" x14ac:dyDescent="0.2">
      <c r="C208" s="192" vm="395">
        <f ca="1"/>
        <v>45950</v>
      </c>
      <c r="D208" s="189" vm="396">
        <f ca="1"/>
        <v>307.77</v>
      </c>
      <c r="E208" s="189"/>
    </row>
    <row r="209" spans="3:5" x14ac:dyDescent="0.2">
      <c r="C209" s="192" vm="397">
        <f ca="1"/>
        <v>45951</v>
      </c>
      <c r="D209" s="189" vm="398">
        <f ca="1"/>
        <v>307.48</v>
      </c>
      <c r="E209" s="189"/>
    </row>
    <row r="210" spans="3:5" x14ac:dyDescent="0.2">
      <c r="C210" s="192" vm="399">
        <f ca="1"/>
        <v>45952</v>
      </c>
      <c r="D210" s="189" vm="400">
        <f ca="1"/>
        <v>310.11</v>
      </c>
      <c r="E210" s="189"/>
    </row>
    <row r="211" spans="3:5" x14ac:dyDescent="0.2">
      <c r="C211" s="192" vm="401">
        <f ca="1"/>
        <v>45953</v>
      </c>
      <c r="D211" s="189" vm="402">
        <f ca="1"/>
        <v>306.97000000000003</v>
      </c>
      <c r="E211" s="189"/>
    </row>
    <row r="212" spans="3:5" x14ac:dyDescent="0.2">
      <c r="C212" s="192" vm="403">
        <f ca="1"/>
        <v>45954</v>
      </c>
      <c r="D212" s="189" vm="404">
        <f ca="1"/>
        <v>305.79000000000002</v>
      </c>
      <c r="E212" s="189"/>
    </row>
    <row r="213" spans="3:5" x14ac:dyDescent="0.2">
      <c r="C213" s="192" vm="405">
        <f ca="1"/>
        <v>45957</v>
      </c>
      <c r="D213" s="189" vm="406">
        <f ca="1"/>
        <v>310</v>
      </c>
      <c r="E213" s="189"/>
    </row>
    <row r="214" spans="3:5" x14ac:dyDescent="0.2">
      <c r="C214" s="192" vm="407">
        <f ca="1"/>
        <v>45958</v>
      </c>
      <c r="D214" s="189" vm="408">
        <f ca="1"/>
        <v>306.39999999999998</v>
      </c>
      <c r="E214" s="189"/>
    </row>
    <row r="215" spans="3:5" x14ac:dyDescent="0.2">
      <c r="C215" s="192" vm="409">
        <f ca="1"/>
        <v>45959</v>
      </c>
      <c r="D215" s="189" vm="410">
        <f ca="1"/>
        <v>302.35000000000002</v>
      </c>
      <c r="E215" s="189"/>
    </row>
    <row r="216" spans="3:5" x14ac:dyDescent="0.2">
      <c r="C216" s="192" vm="411">
        <f ca="1"/>
        <v>45960</v>
      </c>
      <c r="D216" s="189" vm="412">
        <f ca="1"/>
        <v>302.43</v>
      </c>
      <c r="E216" s="189"/>
    </row>
    <row r="217" spans="3:5" x14ac:dyDescent="0.2">
      <c r="C217" s="192" vm="413">
        <f ca="1"/>
        <v>45961</v>
      </c>
      <c r="D217" s="189" vm="414">
        <f ca="1"/>
        <v>298.43</v>
      </c>
      <c r="E217" s="189"/>
    </row>
    <row r="218" spans="3:5" x14ac:dyDescent="0.2">
      <c r="C218" s="192" vm="415">
        <f ca="1"/>
        <v>45964</v>
      </c>
      <c r="D218" s="189" vm="416">
        <f ca="1"/>
        <v>296.37</v>
      </c>
      <c r="E218" s="189"/>
    </row>
    <row r="219" spans="3:5" x14ac:dyDescent="0.2">
      <c r="C219" s="192" vm="417">
        <f ca="1"/>
        <v>45965</v>
      </c>
      <c r="D219" s="189" vm="418">
        <f ca="1"/>
        <v>299.20999999999998</v>
      </c>
      <c r="E219" s="189"/>
    </row>
    <row r="220" spans="3:5" x14ac:dyDescent="0.2">
      <c r="C220" s="192" vm="419">
        <f ca="1"/>
        <v>45966</v>
      </c>
      <c r="D220" s="189" vm="110">
        <f ca="1"/>
        <v>305.67</v>
      </c>
      <c r="E220" s="189"/>
    </row>
    <row r="221" spans="3:5" x14ac:dyDescent="0.2">
      <c r="C221" s="192" vm="420">
        <f ca="1"/>
        <v>45967</v>
      </c>
      <c r="D221" s="189" vm="421">
        <f ca="1"/>
        <v>298.41000000000003</v>
      </c>
      <c r="E221" s="189"/>
    </row>
    <row r="222" spans="3:5" x14ac:dyDescent="0.2">
      <c r="C222" s="192" vm="422">
        <f ca="1"/>
        <v>45968</v>
      </c>
      <c r="D222" s="189" vm="423">
        <f ca="1"/>
        <v>299.66000000000003</v>
      </c>
      <c r="E222" s="189"/>
    </row>
    <row r="223" spans="3:5" x14ac:dyDescent="0.2">
      <c r="C223" s="192" vm="424">
        <f ca="1"/>
        <v>45971</v>
      </c>
      <c r="D223" s="189" vm="425">
        <f ca="1"/>
        <v>299.10000000000002</v>
      </c>
      <c r="E223" s="189"/>
    </row>
    <row r="224" spans="3:5" x14ac:dyDescent="0.2">
      <c r="C224" s="192" vm="426">
        <f ca="1"/>
        <v>45972</v>
      </c>
      <c r="D224" s="189" vm="427">
        <f ca="1"/>
        <v>306.83</v>
      </c>
      <c r="E224" s="189"/>
    </row>
    <row r="225" spans="3:5" x14ac:dyDescent="0.2">
      <c r="C225" s="192" vm="428">
        <f ca="1"/>
        <v>45973</v>
      </c>
      <c r="D225" s="189" vm="429">
        <f ca="1"/>
        <v>306.94</v>
      </c>
      <c r="E225" s="189"/>
    </row>
    <row r="226" spans="3:5" x14ac:dyDescent="0.2">
      <c r="C226" s="192" vm="430">
        <f ca="1"/>
        <v>45974</v>
      </c>
      <c r="D226" s="189" vm="431">
        <f ca="1"/>
        <v>307.58</v>
      </c>
      <c r="E226" s="189"/>
    </row>
    <row r="227" spans="3:5" x14ac:dyDescent="0.2">
      <c r="C227" s="192" vm="432">
        <f ca="1"/>
        <v>45975</v>
      </c>
      <c r="D227" s="189" vm="433">
        <f ca="1"/>
        <v>307.02999999999997</v>
      </c>
      <c r="E227" s="189"/>
    </row>
    <row r="228" spans="3:5" x14ac:dyDescent="0.2">
      <c r="C228" s="192" vm="434">
        <f ca="1"/>
        <v>45978</v>
      </c>
      <c r="D228" s="189" vm="435">
        <f ca="1"/>
        <v>304.89999999999998</v>
      </c>
      <c r="E228" s="189"/>
    </row>
    <row r="229" spans="3:5" x14ac:dyDescent="0.2">
      <c r="C229" s="192" vm="436">
        <f ca="1"/>
        <v>45979</v>
      </c>
      <c r="D229" s="189" vm="437">
        <f ca="1"/>
        <v>304.58999999999997</v>
      </c>
      <c r="E229" s="189"/>
    </row>
    <row r="230" spans="3:5" x14ac:dyDescent="0.2">
      <c r="C230" s="192" vm="438">
        <f ca="1"/>
        <v>45980</v>
      </c>
      <c r="D230" s="189" vm="439">
        <f ca="1"/>
        <v>302.74</v>
      </c>
      <c r="E230" s="189"/>
    </row>
    <row r="231" spans="3:5" x14ac:dyDescent="0.2">
      <c r="C231" s="192" vm="440">
        <f ca="1"/>
        <v>45981</v>
      </c>
      <c r="D231" s="189" vm="441">
        <f ca="1"/>
        <v>304.16000000000003</v>
      </c>
      <c r="E231" s="189"/>
    </row>
    <row r="232" spans="3:5" x14ac:dyDescent="0.2">
      <c r="C232" s="192" vm="442">
        <f ca="1"/>
        <v>45982</v>
      </c>
      <c r="D232" s="189" vm="443">
        <f ca="1"/>
        <v>309.35000000000002</v>
      </c>
      <c r="E232" s="189"/>
    </row>
    <row r="233" spans="3:5" x14ac:dyDescent="0.2">
      <c r="C233" s="192" vm="444">
        <f ca="1"/>
        <v>45985</v>
      </c>
      <c r="D233" s="189" vm="435">
        <f ca="1"/>
        <v>304.89999999999998</v>
      </c>
      <c r="E233" s="189"/>
    </row>
    <row r="234" spans="3:5" x14ac:dyDescent="0.2">
      <c r="C234" s="192" vm="445">
        <f ca="1"/>
        <v>45986</v>
      </c>
      <c r="D234" s="189" vm="446">
        <f ca="1"/>
        <v>310.45</v>
      </c>
      <c r="E234" s="189"/>
    </row>
    <row r="235" spans="3:5" x14ac:dyDescent="0.2">
      <c r="C235" s="192" vm="447">
        <f ca="1"/>
        <v>45987</v>
      </c>
      <c r="D235" s="189" vm="448">
        <f ca="1"/>
        <v>312.39999999999998</v>
      </c>
      <c r="E235" s="189"/>
    </row>
    <row r="236" spans="3:5" x14ac:dyDescent="0.2">
      <c r="C236" s="192" vm="449">
        <f ca="1"/>
        <v>45989</v>
      </c>
      <c r="D236" s="189" vm="450">
        <f ca="1"/>
        <v>311.82</v>
      </c>
      <c r="E236" s="189"/>
    </row>
    <row r="237" spans="3:5" x14ac:dyDescent="0.2">
      <c r="C237" s="192" vm="451">
        <f ca="1"/>
        <v>45992</v>
      </c>
      <c r="D237" s="189" vm="452">
        <f ca="1"/>
        <v>303.57</v>
      </c>
      <c r="E237" s="189"/>
    </row>
    <row r="238" spans="3:5" x14ac:dyDescent="0.2">
      <c r="C238" s="192" vm="453">
        <f ca="1"/>
        <v>45993</v>
      </c>
      <c r="D238" s="189" vm="454">
        <f ca="1"/>
        <v>300.72000000000003</v>
      </c>
      <c r="E238" s="189"/>
    </row>
    <row r="239" spans="3:5" x14ac:dyDescent="0.2">
      <c r="C239" s="192" vm="455">
        <f ca="1"/>
        <v>45994</v>
      </c>
      <c r="D239" s="189" vm="456">
        <f ca="1"/>
        <v>307.70999999999998</v>
      </c>
      <c r="E239" s="189"/>
    </row>
    <row r="240" spans="3:5" x14ac:dyDescent="0.2">
      <c r="C240" s="192" vm="457">
        <f ca="1"/>
        <v>45995</v>
      </c>
      <c r="D240" s="189" vm="458">
        <f ca="1"/>
        <v>308.54000000000002</v>
      </c>
      <c r="E240" s="189"/>
    </row>
    <row r="241" spans="3:5" x14ac:dyDescent="0.2">
      <c r="C241" s="192" vm="459">
        <f ca="1"/>
        <v>45996</v>
      </c>
      <c r="D241" s="189" vm="460">
        <f ca="1"/>
        <v>311.23</v>
      </c>
      <c r="E241" s="189"/>
    </row>
    <row r="242" spans="3:5" x14ac:dyDescent="0.2">
      <c r="C242" s="192" vm="461">
        <f ca="1"/>
        <v>45999</v>
      </c>
      <c r="D242" s="189" vm="462">
        <f ca="1"/>
        <v>309.79000000000002</v>
      </c>
      <c r="E242" s="189"/>
    </row>
    <row r="243" spans="3:5" x14ac:dyDescent="0.2">
      <c r="C243" s="192" vm="463">
        <f ca="1"/>
        <v>46000</v>
      </c>
      <c r="D243" s="189" vm="464">
        <f ca="1"/>
        <v>310.79000000000002</v>
      </c>
      <c r="E243" s="189"/>
    </row>
    <row r="244" spans="3:5" x14ac:dyDescent="0.2">
      <c r="C244" s="192" vm="465">
        <f ca="1"/>
        <v>46001</v>
      </c>
      <c r="D244" s="189" vm="466">
        <f ca="1"/>
        <v>310.52999999999997</v>
      </c>
      <c r="E244" s="189"/>
    </row>
    <row r="245" spans="3:5" x14ac:dyDescent="0.2">
      <c r="C245" s="192" vm="467">
        <f ca="1"/>
        <v>46002</v>
      </c>
      <c r="D245" s="189" vm="468">
        <f ca="1"/>
        <v>309.70999999999998</v>
      </c>
      <c r="E245" s="189"/>
    </row>
    <row r="246" spans="3:5" x14ac:dyDescent="0.2">
      <c r="C246" s="192" vm="469">
        <f ca="1"/>
        <v>46003</v>
      </c>
      <c r="D246" s="189" vm="470">
        <f ca="1"/>
        <v>316.72000000000003</v>
      </c>
      <c r="E246" s="189"/>
    </row>
    <row r="247" spans="3:5" x14ac:dyDescent="0.2">
      <c r="C247" s="192" vm="471">
        <f ca="1"/>
        <v>46006</v>
      </c>
      <c r="D247" s="189" vm="472">
        <f ca="1"/>
        <v>318.73</v>
      </c>
      <c r="E247" s="189"/>
    </row>
    <row r="248" spans="3:5" x14ac:dyDescent="0.2">
      <c r="C248" s="192" vm="473">
        <f ca="1"/>
        <v>46007</v>
      </c>
      <c r="D248" s="189" vm="158">
        <f ca="1"/>
        <v>314.5</v>
      </c>
      <c r="E248" s="189"/>
    </row>
    <row r="249" spans="3:5" x14ac:dyDescent="0.2">
      <c r="C249" s="192" vm="474">
        <f ca="1"/>
        <v>46008</v>
      </c>
      <c r="D249" s="189" vm="475">
        <f ca="1"/>
        <v>318.69</v>
      </c>
      <c r="E249" s="189"/>
    </row>
    <row r="250" spans="3:5" x14ac:dyDescent="0.2">
      <c r="C250" s="192" vm="476">
        <f ca="1"/>
        <v>46009</v>
      </c>
      <c r="D250" s="189" vm="160">
        <f ca="1"/>
        <v>319.64999999999998</v>
      </c>
      <c r="E250" s="189"/>
    </row>
    <row r="251" spans="3:5" x14ac:dyDescent="0.2">
      <c r="C251" s="192" vm="477">
        <f ca="1"/>
        <v>46010</v>
      </c>
      <c r="D251" s="189" vm="478">
        <f ca="1"/>
        <v>315.83999999999997</v>
      </c>
      <c r="E251" s="189"/>
    </row>
    <row r="252" spans="3:5" x14ac:dyDescent="0.2">
      <c r="C252" s="192" vm="479">
        <f ca="1"/>
        <v>46013</v>
      </c>
      <c r="D252" s="189" vm="152">
        <f ca="1"/>
        <v>316.22000000000003</v>
      </c>
      <c r="E252" s="189"/>
    </row>
    <row r="253" spans="3:5" x14ac:dyDescent="0.2">
      <c r="C253" s="192" vm="480">
        <f ca="1"/>
        <v>46014</v>
      </c>
      <c r="D253" s="189" vm="481">
        <f ca="1"/>
        <v>310.83999999999997</v>
      </c>
      <c r="E253" s="189"/>
    </row>
    <row r="254" spans="3:5" x14ac:dyDescent="0.2">
      <c r="C254" s="192" vm="482">
        <f ca="1"/>
        <v>46015</v>
      </c>
      <c r="D254" s="189" vm="483">
        <f ca="1"/>
        <v>313.33</v>
      </c>
      <c r="E254" s="189"/>
    </row>
    <row r="255" spans="3:5" x14ac:dyDescent="0.2">
      <c r="C255" s="192" vm="484">
        <f ca="1"/>
        <v>46017</v>
      </c>
      <c r="D255" s="189" vm="485">
        <f ca="1"/>
        <v>310.68</v>
      </c>
      <c r="E255" s="189"/>
    </row>
    <row r="256" spans="3:5" x14ac:dyDescent="0.2">
      <c r="C256" s="192" vm="486">
        <f ca="1"/>
        <v>46020</v>
      </c>
      <c r="D256" s="189" vm="487">
        <f ca="1"/>
        <v>308.52999999999997</v>
      </c>
      <c r="E256" s="189"/>
    </row>
    <row r="257" spans="3:5" x14ac:dyDescent="0.2">
      <c r="C257" s="192" vm="488">
        <f ca="1"/>
        <v>46021</v>
      </c>
      <c r="D257" s="189" vm="489">
        <f ca="1"/>
        <v>308.02999999999997</v>
      </c>
      <c r="E257" s="189"/>
    </row>
    <row r="258" spans="3:5" x14ac:dyDescent="0.2">
      <c r="C258" s="192" vm="490">
        <f ca="1"/>
        <v>46022</v>
      </c>
      <c r="D258" s="189" vm="491">
        <f ca="1"/>
        <v>305.63</v>
      </c>
      <c r="E258" s="189"/>
    </row>
    <row r="259" spans="3:5" x14ac:dyDescent="0.2">
      <c r="D259" s="188"/>
      <c r="E259" s="189"/>
    </row>
  </sheetData>
  <conditionalFormatting sqref="R9:U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scale="35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45F2-FBB9-6743-BB38-B11D5C4AE7DE}">
  <sheetPr>
    <tabColor theme="0" tint="-0.14999847407452621"/>
  </sheetPr>
  <dimension ref="A1:R153"/>
  <sheetViews>
    <sheetView showGridLines="0" view="pageBreakPreview" zoomScale="91" zoomScaleNormal="100" zoomScaleSheetLayoutView="100" workbookViewId="0">
      <selection activeCell="N103" sqref="N103"/>
    </sheetView>
  </sheetViews>
  <sheetFormatPr baseColWidth="10" defaultRowHeight="16" outlineLevelRow="1" x14ac:dyDescent="0.2"/>
  <cols>
    <col min="1" max="1" width="2.83203125" style="7" customWidth="1"/>
    <col min="2" max="2" width="2.83203125" customWidth="1"/>
    <col min="3" max="3" width="17" bestFit="1" customWidth="1"/>
    <col min="5" max="5" width="21" bestFit="1" customWidth="1"/>
    <col min="6" max="18" width="12.83203125" customWidth="1"/>
    <col min="19" max="20" width="2.83203125" customWidth="1"/>
  </cols>
  <sheetData>
    <row r="1" spans="1:18" s="3" customFormat="1" x14ac:dyDescent="0.2">
      <c r="A1" s="6"/>
    </row>
    <row r="2" spans="1:18" s="3" customFormat="1" x14ac:dyDescent="0.2">
      <c r="A2" s="6"/>
    </row>
    <row r="3" spans="1:18" s="3" customFormat="1" ht="27" x14ac:dyDescent="0.35">
      <c r="A3" s="6"/>
      <c r="C3" s="5" t="s">
        <v>5</v>
      </c>
    </row>
    <row r="6" spans="1:18" x14ac:dyDescent="0.2">
      <c r="A6" s="7" t="s">
        <v>7</v>
      </c>
      <c r="C6" s="4" t="s">
        <v>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8" spans="1:18" x14ac:dyDescent="0.2">
      <c r="C8" t="s">
        <v>14</v>
      </c>
      <c r="E8" s="13" t="s">
        <v>18</v>
      </c>
      <c r="G8" t="s">
        <v>236</v>
      </c>
      <c r="H8" s="81"/>
      <c r="I8" s="133">
        <f ca="1">R98*I11</f>
        <v>442.67443702933213</v>
      </c>
    </row>
    <row r="9" spans="1:18" x14ac:dyDescent="0.2">
      <c r="C9" t="s">
        <v>13</v>
      </c>
      <c r="E9" s="13" t="s">
        <v>19</v>
      </c>
      <c r="G9" t="s">
        <v>17</v>
      </c>
      <c r="I9" s="16">
        <f ca="1">I8/E11-1</f>
        <v>0.42591218241047568</v>
      </c>
    </row>
    <row r="10" spans="1:18" x14ac:dyDescent="0.2">
      <c r="C10" t="s">
        <v>15</v>
      </c>
      <c r="E10" s="14">
        <f ca="1">TODAY()</f>
        <v>46029</v>
      </c>
    </row>
    <row r="11" spans="1:18" x14ac:dyDescent="0.2">
      <c r="C11" t="s">
        <v>16</v>
      </c>
      <c r="E11" s="15">
        <v>310.45</v>
      </c>
      <c r="G11" t="s">
        <v>235</v>
      </c>
      <c r="I11" s="122">
        <v>1.18</v>
      </c>
    </row>
    <row r="13" spans="1:18" x14ac:dyDescent="0.2">
      <c r="A13" s="7" t="s">
        <v>7</v>
      </c>
      <c r="C13" s="4" t="s">
        <v>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5" spans="1:18" x14ac:dyDescent="0.2">
      <c r="C15" s="17" t="s">
        <v>20</v>
      </c>
      <c r="G15" s="17" t="s">
        <v>23</v>
      </c>
      <c r="H15" s="19" t="s">
        <v>21</v>
      </c>
      <c r="I15" s="19" t="s">
        <v>22</v>
      </c>
      <c r="K15" s="17" t="s">
        <v>24</v>
      </c>
      <c r="L15" s="19" t="s">
        <v>21</v>
      </c>
      <c r="M15" s="19" t="s">
        <v>22</v>
      </c>
      <c r="N15" s="19"/>
      <c r="O15" s="17" t="s">
        <v>25</v>
      </c>
      <c r="P15" s="19" t="s">
        <v>21</v>
      </c>
      <c r="Q15" s="19" t="s">
        <v>22</v>
      </c>
    </row>
    <row r="16" spans="1:18" x14ac:dyDescent="0.2">
      <c r="C16" t="s">
        <v>137</v>
      </c>
      <c r="E16" s="12">
        <v>3</v>
      </c>
      <c r="G16" t="s">
        <v>139</v>
      </c>
      <c r="H16" s="74" t="s">
        <v>138</v>
      </c>
      <c r="I16" s="84">
        <v>-0.2</v>
      </c>
      <c r="O16" t="s">
        <v>139</v>
      </c>
      <c r="P16" s="74" t="s">
        <v>138</v>
      </c>
      <c r="Q16" s="84">
        <v>0.55000000000000004</v>
      </c>
    </row>
    <row r="17" spans="1:18" x14ac:dyDescent="0.2">
      <c r="C17" t="s">
        <v>216</v>
      </c>
      <c r="E17" s="92">
        <f>CHOOSE(scen,M20,I20,Q20)</f>
        <v>0.06</v>
      </c>
      <c r="G17" t="s">
        <v>141</v>
      </c>
      <c r="H17" s="74" t="s">
        <v>142</v>
      </c>
      <c r="I17" s="84">
        <v>-0.05</v>
      </c>
      <c r="O17" t="s">
        <v>141</v>
      </c>
      <c r="P17" s="74" t="s">
        <v>142</v>
      </c>
      <c r="Q17" s="84">
        <v>0</v>
      </c>
    </row>
    <row r="18" spans="1:18" x14ac:dyDescent="0.2">
      <c r="C18" t="s">
        <v>234</v>
      </c>
      <c r="E18" s="92">
        <f>CHOOSE(scen,M21,I21,Q21)</f>
        <v>2.8000000000000001E-2</v>
      </c>
      <c r="G18" t="s">
        <v>141</v>
      </c>
      <c r="H18" s="74" t="s">
        <v>143</v>
      </c>
      <c r="I18" s="84">
        <v>-0.15</v>
      </c>
      <c r="O18" t="s">
        <v>141</v>
      </c>
      <c r="P18" s="74" t="s">
        <v>143</v>
      </c>
      <c r="Q18" s="84">
        <v>0.05</v>
      </c>
    </row>
    <row r="19" spans="1:18" x14ac:dyDescent="0.2">
      <c r="G19" t="s">
        <v>93</v>
      </c>
      <c r="H19" s="74" t="s">
        <v>142</v>
      </c>
      <c r="I19" s="84">
        <v>0</v>
      </c>
      <c r="O19" t="s">
        <v>93</v>
      </c>
      <c r="P19" s="74" t="s">
        <v>138</v>
      </c>
      <c r="Q19" s="84">
        <v>0</v>
      </c>
    </row>
    <row r="20" spans="1:18" x14ac:dyDescent="0.2">
      <c r="G20" t="s">
        <v>216</v>
      </c>
      <c r="H20" s="74"/>
      <c r="I20" s="84">
        <v>6.2E-2</v>
      </c>
      <c r="K20" t="s">
        <v>216</v>
      </c>
      <c r="M20" s="120">
        <f>WACC!D21</f>
        <v>6.1305017591989974E-2</v>
      </c>
      <c r="O20" t="s">
        <v>216</v>
      </c>
      <c r="P20" s="74"/>
      <c r="Q20" s="84">
        <v>0.06</v>
      </c>
    </row>
    <row r="21" spans="1:18" x14ac:dyDescent="0.2">
      <c r="G21" t="s">
        <v>234</v>
      </c>
      <c r="H21" s="74"/>
      <c r="I21" s="84">
        <v>2.1999999999999999E-2</v>
      </c>
      <c r="K21" t="s">
        <v>234</v>
      </c>
      <c r="L21" s="74"/>
      <c r="M21" s="84">
        <v>2.5000000000000001E-2</v>
      </c>
      <c r="O21" t="s">
        <v>234</v>
      </c>
      <c r="P21" s="74"/>
      <c r="Q21" s="84">
        <v>2.8000000000000001E-2</v>
      </c>
    </row>
    <row r="23" spans="1:18" x14ac:dyDescent="0.2">
      <c r="A23" s="7" t="s">
        <v>7</v>
      </c>
      <c r="C23" s="4" t="s">
        <v>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5" spans="1:18" ht="19" x14ac:dyDescent="0.35">
      <c r="C25" s="8"/>
      <c r="D25" s="8"/>
      <c r="E25" s="8"/>
      <c r="F25" s="8"/>
      <c r="G25" s="8"/>
      <c r="H25" s="9" t="s">
        <v>10</v>
      </c>
      <c r="I25" s="10"/>
      <c r="J25" s="10"/>
      <c r="K25" s="10"/>
      <c r="L25" s="10"/>
      <c r="M25" s="11" t="s">
        <v>11</v>
      </c>
      <c r="N25" s="11"/>
      <c r="O25" s="11"/>
      <c r="P25" s="11"/>
      <c r="Q25" s="11"/>
      <c r="R25" s="11"/>
    </row>
    <row r="26" spans="1:18" x14ac:dyDescent="0.2">
      <c r="C26" s="86" t="s">
        <v>237</v>
      </c>
      <c r="D26" s="86"/>
      <c r="E26" s="86"/>
      <c r="F26" s="86"/>
      <c r="G26" s="86"/>
      <c r="H26" s="86">
        <v>2020</v>
      </c>
      <c r="I26" s="86">
        <f>+H26+1</f>
        <v>2021</v>
      </c>
      <c r="J26" s="86">
        <f t="shared" ref="J26:R26" si="0">+I26+1</f>
        <v>2022</v>
      </c>
      <c r="K26" s="86">
        <f t="shared" si="0"/>
        <v>2023</v>
      </c>
      <c r="L26" s="86">
        <f t="shared" si="0"/>
        <v>2024</v>
      </c>
      <c r="M26" s="87">
        <f t="shared" si="0"/>
        <v>2025</v>
      </c>
      <c r="N26" s="87">
        <f t="shared" si="0"/>
        <v>2026</v>
      </c>
      <c r="O26" s="87">
        <f t="shared" si="0"/>
        <v>2027</v>
      </c>
      <c r="P26" s="87">
        <f t="shared" si="0"/>
        <v>2028</v>
      </c>
      <c r="Q26" s="87">
        <f t="shared" si="0"/>
        <v>2029</v>
      </c>
      <c r="R26" s="87">
        <f t="shared" si="0"/>
        <v>2030</v>
      </c>
    </row>
    <row r="27" spans="1:18" x14ac:dyDescent="0.2">
      <c r="C27" t="s">
        <v>86</v>
      </c>
      <c r="D27" s="59"/>
      <c r="E27" s="59"/>
      <c r="F27" s="59"/>
      <c r="G27" s="59"/>
      <c r="H27" s="83">
        <f>IS!H11</f>
        <v>16849</v>
      </c>
      <c r="I27" s="83">
        <f>IS!I11</f>
        <v>19647</v>
      </c>
      <c r="J27" s="83">
        <f>IS!J11</f>
        <v>22058</v>
      </c>
      <c r="K27" s="83">
        <f>IS!K11</f>
        <v>23581</v>
      </c>
      <c r="L27" s="83">
        <f>IS!L11</f>
        <v>23962</v>
      </c>
      <c r="M27" s="59">
        <f ca="1">L27*(1+M28)</f>
        <v>24890.5275</v>
      </c>
      <c r="N27" s="59">
        <f t="shared" ref="N27:R27" ca="1" si="1">M27*(1+N28)</f>
        <v>25855.035440625001</v>
      </c>
      <c r="O27" s="59">
        <f t="shared" ca="1" si="1"/>
        <v>26856.918063949222</v>
      </c>
      <c r="P27" s="59">
        <f t="shared" ca="1" si="1"/>
        <v>27897.623638927256</v>
      </c>
      <c r="Q27" s="59">
        <f t="shared" ca="1" si="1"/>
        <v>28978.656554935689</v>
      </c>
      <c r="R27" s="59">
        <f t="shared" ca="1" si="1"/>
        <v>30101.579496439448</v>
      </c>
    </row>
    <row r="28" spans="1:18" s="57" customFormat="1" x14ac:dyDescent="0.2">
      <c r="A28" s="56"/>
      <c r="C28" s="58" t="s">
        <v>87</v>
      </c>
      <c r="D28" s="60"/>
      <c r="E28" s="60"/>
      <c r="F28" s="60"/>
      <c r="G28" s="60"/>
      <c r="H28" s="60"/>
      <c r="I28" s="67">
        <f>I27/H27-1</f>
        <v>0.16606326784972403</v>
      </c>
      <c r="J28" s="67">
        <f t="shared" ref="J28:K28" si="2">J27/I27-1</f>
        <v>0.12271593627525834</v>
      </c>
      <c r="K28" s="67">
        <f t="shared" si="2"/>
        <v>6.9045244355789182E-2</v>
      </c>
      <c r="L28" s="67">
        <f>L27/K27-1</f>
        <v>1.6157075611721305E-2</v>
      </c>
      <c r="M28" s="67">
        <f ca="1">OFFSET(M28,scen,0)</f>
        <v>3.8750000000000007E-2</v>
      </c>
      <c r="N28" s="67">
        <f t="shared" ref="N28:R28" ca="1" si="3">OFFSET(N28,scen,0)</f>
        <v>3.8750000000000007E-2</v>
      </c>
      <c r="O28" s="67">
        <f t="shared" ca="1" si="3"/>
        <v>3.8750000000000007E-2</v>
      </c>
      <c r="P28" s="67">
        <f t="shared" ca="1" si="3"/>
        <v>3.8750000000000007E-2</v>
      </c>
      <c r="Q28" s="67">
        <f t="shared" ca="1" si="3"/>
        <v>3.8750000000000007E-2</v>
      </c>
      <c r="R28" s="67">
        <f t="shared" ca="1" si="3"/>
        <v>3.8750000000000007E-2</v>
      </c>
    </row>
    <row r="29" spans="1:18" s="57" customFormat="1" x14ac:dyDescent="0.2">
      <c r="A29" s="56"/>
      <c r="C29" s="58" t="s">
        <v>134</v>
      </c>
      <c r="D29" s="60"/>
      <c r="E29" s="60"/>
      <c r="F29" s="60"/>
      <c r="G29" s="60"/>
      <c r="H29" s="60"/>
      <c r="I29" s="67"/>
      <c r="J29" s="67"/>
      <c r="K29" s="67"/>
      <c r="L29" s="67"/>
      <c r="M29" s="84">
        <v>2.5000000000000001E-2</v>
      </c>
      <c r="N29" s="73">
        <f>M29</f>
        <v>2.5000000000000001E-2</v>
      </c>
      <c r="O29" s="73">
        <f t="shared" ref="O29:R29" si="4">N29</f>
        <v>2.5000000000000001E-2</v>
      </c>
      <c r="P29" s="73">
        <f t="shared" si="4"/>
        <v>2.5000000000000001E-2</v>
      </c>
      <c r="Q29" s="73">
        <f t="shared" si="4"/>
        <v>2.5000000000000001E-2</v>
      </c>
      <c r="R29" s="73">
        <f t="shared" si="4"/>
        <v>2.5000000000000001E-2</v>
      </c>
    </row>
    <row r="30" spans="1:18" s="57" customFormat="1" x14ac:dyDescent="0.2">
      <c r="A30" s="56"/>
      <c r="C30" s="58" t="s">
        <v>135</v>
      </c>
      <c r="D30" s="60"/>
      <c r="E30" s="60"/>
      <c r="F30" s="60"/>
      <c r="G30" s="60"/>
      <c r="H30" s="60"/>
      <c r="I30" s="67"/>
      <c r="J30" s="67"/>
      <c r="K30" s="67"/>
      <c r="L30" s="67"/>
      <c r="M30" s="73">
        <f>M29*(1+I16)</f>
        <v>2.0000000000000004E-2</v>
      </c>
      <c r="N30" s="73">
        <f t="shared" ref="N30:R30" si="5">M30</f>
        <v>2.0000000000000004E-2</v>
      </c>
      <c r="O30" s="73">
        <f t="shared" si="5"/>
        <v>2.0000000000000004E-2</v>
      </c>
      <c r="P30" s="73">
        <f t="shared" si="5"/>
        <v>2.0000000000000004E-2</v>
      </c>
      <c r="Q30" s="73">
        <f t="shared" si="5"/>
        <v>2.0000000000000004E-2</v>
      </c>
      <c r="R30" s="73">
        <f t="shared" si="5"/>
        <v>2.0000000000000004E-2</v>
      </c>
    </row>
    <row r="31" spans="1:18" s="57" customFormat="1" x14ac:dyDescent="0.2">
      <c r="A31" s="56"/>
      <c r="C31" s="58" t="s">
        <v>136</v>
      </c>
      <c r="D31" s="60"/>
      <c r="E31" s="60"/>
      <c r="F31" s="60"/>
      <c r="G31" s="60"/>
      <c r="H31" s="60"/>
      <c r="I31" s="67"/>
      <c r="J31" s="67"/>
      <c r="K31" s="67"/>
      <c r="L31" s="67"/>
      <c r="M31" s="73">
        <f>M29*(1+Q16)</f>
        <v>3.8750000000000007E-2</v>
      </c>
      <c r="N31" s="73">
        <f t="shared" ref="N31:R31" si="6">M31</f>
        <v>3.8750000000000007E-2</v>
      </c>
      <c r="O31" s="73">
        <f t="shared" si="6"/>
        <v>3.8750000000000007E-2</v>
      </c>
      <c r="P31" s="73">
        <f t="shared" si="6"/>
        <v>3.8750000000000007E-2</v>
      </c>
      <c r="Q31" s="73">
        <f t="shared" si="6"/>
        <v>3.8750000000000007E-2</v>
      </c>
      <c r="R31" s="73">
        <f t="shared" si="6"/>
        <v>3.8750000000000007E-2</v>
      </c>
    </row>
    <row r="32" spans="1:18" x14ac:dyDescent="0.2"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</row>
    <row r="33" spans="1:18" x14ac:dyDescent="0.2">
      <c r="C33" t="s">
        <v>88</v>
      </c>
      <c r="D33" s="59"/>
      <c r="E33" s="59"/>
      <c r="F33" s="59"/>
      <c r="G33" s="59"/>
      <c r="H33" s="83">
        <f>IS!H13*-1</f>
        <v>-6788</v>
      </c>
      <c r="I33" s="83">
        <f>IS!I13*-1</f>
        <v>-7482</v>
      </c>
      <c r="J33" s="83">
        <f>IS!J13*-1</f>
        <v>-7831</v>
      </c>
      <c r="K33" s="83">
        <f>IS!K13*-1</f>
        <v>-8419</v>
      </c>
      <c r="L33" s="83">
        <f>IS!L13*-1</f>
        <v>-8525</v>
      </c>
      <c r="M33" s="59">
        <f ca="1">M35-M27</f>
        <v>-8374.2882375000008</v>
      </c>
      <c r="N33" s="59">
        <f t="shared" ref="N33:R33" ca="1" si="7">N35-N27</f>
        <v>-8184.1046006854704</v>
      </c>
      <c r="O33" s="59">
        <f t="shared" ca="1" si="7"/>
        <v>-7950.5682716624142</v>
      </c>
      <c r="P33" s="59">
        <f t="shared" ca="1" si="7"/>
        <v>-7669.4836667871969</v>
      </c>
      <c r="Q33" s="59">
        <f t="shared" ca="1" si="7"/>
        <v>-7336.3167469933869</v>
      </c>
      <c r="R33" s="59">
        <f t="shared" ca="1" si="7"/>
        <v>-6946.1696066743789</v>
      </c>
    </row>
    <row r="34" spans="1:18" x14ac:dyDescent="0.2"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</row>
    <row r="35" spans="1:18" x14ac:dyDescent="0.2">
      <c r="C35" s="18" t="s">
        <v>90</v>
      </c>
      <c r="D35" s="68"/>
      <c r="E35" s="68"/>
      <c r="F35" s="68"/>
      <c r="G35" s="68"/>
      <c r="H35" s="68">
        <f>H27+H33</f>
        <v>10061</v>
      </c>
      <c r="I35" s="68">
        <f>I27+I33</f>
        <v>12165</v>
      </c>
      <c r="J35" s="68">
        <f>J27+J33</f>
        <v>14227</v>
      </c>
      <c r="K35" s="68">
        <f>K27+K33</f>
        <v>15162</v>
      </c>
      <c r="L35" s="68">
        <f>L27+L33</f>
        <v>15437</v>
      </c>
      <c r="M35" s="68">
        <f ca="1">M27*M36</f>
        <v>16516.239262499999</v>
      </c>
      <c r="N35" s="68">
        <f t="shared" ref="N35:R35" ca="1" si="8">N27*N36</f>
        <v>17670.93083993953</v>
      </c>
      <c r="O35" s="68">
        <f t="shared" ca="1" si="8"/>
        <v>18906.349792286808</v>
      </c>
      <c r="P35" s="68">
        <f t="shared" ca="1" si="8"/>
        <v>20228.139972140059</v>
      </c>
      <c r="Q35" s="68">
        <f t="shared" ca="1" si="8"/>
        <v>21642.339807942302</v>
      </c>
      <c r="R35" s="68">
        <f t="shared" ca="1" si="8"/>
        <v>23155.409889765069</v>
      </c>
    </row>
    <row r="36" spans="1:18" s="57" customFormat="1" x14ac:dyDescent="0.2">
      <c r="A36" s="56"/>
      <c r="C36" s="58" t="s">
        <v>91</v>
      </c>
      <c r="D36" s="60"/>
      <c r="E36" s="60"/>
      <c r="F36" s="60"/>
      <c r="G36" s="60"/>
      <c r="H36" s="67">
        <f>H35/H$27</f>
        <v>0.59712742595999757</v>
      </c>
      <c r="I36" s="67">
        <f t="shared" ref="I36:L36" si="9">I35/I$27</f>
        <v>0.61917850053443269</v>
      </c>
      <c r="J36" s="67">
        <f t="shared" si="9"/>
        <v>0.64498141263940523</v>
      </c>
      <c r="K36" s="67">
        <f t="shared" si="9"/>
        <v>0.64297527670582244</v>
      </c>
      <c r="L36" s="67">
        <f t="shared" si="9"/>
        <v>0.64422836157248975</v>
      </c>
      <c r="M36" s="67">
        <f ca="1">L36*(1+M37)</f>
        <v>0.66355521241966442</v>
      </c>
      <c r="N36" s="67">
        <f t="shared" ref="N36:R36" ca="1" si="10">M36*(1+N37)</f>
        <v>0.68346186879225435</v>
      </c>
      <c r="O36" s="67">
        <f t="shared" ca="1" si="10"/>
        <v>0.70396572485602205</v>
      </c>
      <c r="P36" s="67">
        <f t="shared" ca="1" si="10"/>
        <v>0.72508469660170272</v>
      </c>
      <c r="Q36" s="67">
        <f t="shared" ca="1" si="10"/>
        <v>0.74683723749975384</v>
      </c>
      <c r="R36" s="67">
        <f t="shared" ca="1" si="10"/>
        <v>0.76924235462474644</v>
      </c>
    </row>
    <row r="37" spans="1:18" s="57" customFormat="1" x14ac:dyDescent="0.2">
      <c r="A37" s="56"/>
      <c r="C37" s="58" t="s">
        <v>87</v>
      </c>
      <c r="D37" s="60"/>
      <c r="E37" s="60"/>
      <c r="F37" s="60"/>
      <c r="G37" s="60"/>
      <c r="H37" s="67"/>
      <c r="I37" s="67">
        <f>I36/H36-1</f>
        <v>3.6928591144484324E-2</v>
      </c>
      <c r="J37" s="67">
        <f t="shared" ref="J37" si="11">J36/I36-1</f>
        <v>4.1672816615404562E-2</v>
      </c>
      <c r="K37" s="67">
        <f>K36/J36-1</f>
        <v>-3.1103779027883416E-3</v>
      </c>
      <c r="L37" s="67">
        <f>L36/K36-1</f>
        <v>1.9488849914841566E-3</v>
      </c>
      <c r="M37" s="67">
        <f t="shared" ref="M37:R37" ca="1" si="12">OFFSET(M37,scen,0)</f>
        <v>0.03</v>
      </c>
      <c r="N37" s="67">
        <f t="shared" ca="1" si="12"/>
        <v>0.03</v>
      </c>
      <c r="O37" s="67">
        <f t="shared" ca="1" si="12"/>
        <v>0.03</v>
      </c>
      <c r="P37" s="67">
        <f t="shared" ca="1" si="12"/>
        <v>0.03</v>
      </c>
      <c r="Q37" s="67">
        <f t="shared" ca="1" si="12"/>
        <v>0.03</v>
      </c>
      <c r="R37" s="67">
        <f t="shared" ca="1" si="12"/>
        <v>0.03</v>
      </c>
    </row>
    <row r="38" spans="1:18" s="57" customFormat="1" x14ac:dyDescent="0.2">
      <c r="A38" s="56"/>
      <c r="C38" s="58" t="s">
        <v>134</v>
      </c>
      <c r="D38" s="60"/>
      <c r="E38" s="60"/>
      <c r="F38" s="60"/>
      <c r="G38" s="60"/>
      <c r="H38" s="60"/>
      <c r="I38" s="67"/>
      <c r="J38" s="67"/>
      <c r="K38" s="67"/>
      <c r="L38" s="67"/>
      <c r="M38" s="73">
        <f>AVERAGE(J37:L37)</f>
        <v>1.3503774568033458E-2</v>
      </c>
      <c r="N38" s="84">
        <v>1.2E-2</v>
      </c>
      <c r="O38" s="84">
        <v>0.01</v>
      </c>
      <c r="P38" s="73">
        <f t="shared" ref="P38:R38" si="13">O38</f>
        <v>0.01</v>
      </c>
      <c r="Q38" s="73">
        <f t="shared" si="13"/>
        <v>0.01</v>
      </c>
      <c r="R38" s="73">
        <f t="shared" si="13"/>
        <v>0.01</v>
      </c>
    </row>
    <row r="39" spans="1:18" s="57" customFormat="1" x14ac:dyDescent="0.2">
      <c r="A39" s="56"/>
      <c r="C39" s="58" t="s">
        <v>135</v>
      </c>
      <c r="D39" s="60"/>
      <c r="E39" s="60"/>
      <c r="F39" s="60"/>
      <c r="G39" s="60"/>
      <c r="H39" s="60"/>
      <c r="I39" s="67"/>
      <c r="J39" s="67"/>
      <c r="K39" s="67"/>
      <c r="L39" s="67"/>
      <c r="M39" s="73">
        <f>AVERAGE(K37:L37)</f>
        <v>-5.8074645565209249E-4</v>
      </c>
      <c r="N39" s="73">
        <f t="shared" ref="N39:O39" si="14">M39</f>
        <v>-5.8074645565209249E-4</v>
      </c>
      <c r="O39" s="73">
        <f t="shared" si="14"/>
        <v>-5.8074645565209249E-4</v>
      </c>
      <c r="P39" s="84">
        <v>0</v>
      </c>
      <c r="Q39" s="84">
        <v>0</v>
      </c>
      <c r="R39" s="84">
        <v>0</v>
      </c>
    </row>
    <row r="40" spans="1:18" s="57" customFormat="1" x14ac:dyDescent="0.2">
      <c r="A40" s="56"/>
      <c r="C40" s="58" t="s">
        <v>136</v>
      </c>
      <c r="D40" s="60"/>
      <c r="E40" s="60"/>
      <c r="F40" s="60"/>
      <c r="G40" s="60"/>
      <c r="H40" s="60"/>
      <c r="I40" s="67"/>
      <c r="J40" s="67"/>
      <c r="K40" s="67"/>
      <c r="L40" s="67"/>
      <c r="M40" s="84">
        <v>0.03</v>
      </c>
      <c r="N40" s="73">
        <f t="shared" ref="N40:R40" si="15">M40</f>
        <v>0.03</v>
      </c>
      <c r="O40" s="73">
        <f t="shared" si="15"/>
        <v>0.03</v>
      </c>
      <c r="P40" s="73">
        <f t="shared" si="15"/>
        <v>0.03</v>
      </c>
      <c r="Q40" s="73">
        <f t="shared" si="15"/>
        <v>0.03</v>
      </c>
      <c r="R40" s="73">
        <f t="shared" si="15"/>
        <v>0.03</v>
      </c>
    </row>
    <row r="41" spans="1:18" x14ac:dyDescent="0.2"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</row>
    <row r="42" spans="1:18" x14ac:dyDescent="0.2">
      <c r="C42" t="s">
        <v>92</v>
      </c>
      <c r="D42" s="59"/>
      <c r="E42" s="59"/>
      <c r="F42" s="59"/>
      <c r="G42" s="59"/>
      <c r="H42" s="83">
        <f>IS!H18*-1</f>
        <v>-2243</v>
      </c>
      <c r="I42" s="83">
        <f>IS!I18*-1</f>
        <v>-2316</v>
      </c>
      <c r="J42" s="83">
        <f>IS!J18*-1</f>
        <v>-2595</v>
      </c>
      <c r="K42" s="83">
        <f>IS!K18*-1</f>
        <v>-2492</v>
      </c>
      <c r="L42" s="83">
        <f>IS!L18*-1</f>
        <v>-2535</v>
      </c>
      <c r="M42" s="59">
        <f ca="1">M45-M35</f>
        <v>-2863.1480939180383</v>
      </c>
      <c r="N42" s="59">
        <f t="shared" ref="N42:R42" ca="1" si="16">N45-N35</f>
        <v>-3162.8953587027845</v>
      </c>
      <c r="O42" s="59">
        <f t="shared" ca="1" si="16"/>
        <v>-3497.6127838723551</v>
      </c>
      <c r="P42" s="59">
        <f t="shared" ca="1" si="16"/>
        <v>-3870.6817902189214</v>
      </c>
      <c r="Q42" s="59">
        <f t="shared" ca="1" si="16"/>
        <v>-4285.7717432319077</v>
      </c>
      <c r="R42" s="59">
        <f t="shared" ca="1" si="16"/>
        <v>-4746.8626721505498</v>
      </c>
    </row>
    <row r="43" spans="1:18" x14ac:dyDescent="0.2">
      <c r="C43" s="58" t="s">
        <v>89</v>
      </c>
      <c r="D43" s="59"/>
      <c r="E43" s="59"/>
      <c r="F43" s="59"/>
      <c r="G43" s="59"/>
      <c r="H43" s="67">
        <f>H42/H27*-1</f>
        <v>0.13312362751498605</v>
      </c>
      <c r="I43" s="67">
        <f t="shared" ref="I43:R43" si="17">I42/I27*-1</f>
        <v>0.11788059245686364</v>
      </c>
      <c r="J43" s="67">
        <f t="shared" si="17"/>
        <v>0.11764439205730347</v>
      </c>
      <c r="K43" s="67">
        <f t="shared" si="17"/>
        <v>0.10567830032653408</v>
      </c>
      <c r="L43" s="67">
        <f t="shared" si="17"/>
        <v>0.10579250479926551</v>
      </c>
      <c r="M43" s="67">
        <f t="shared" ca="1" si="17"/>
        <v>0.11502962699034958</v>
      </c>
      <c r="N43" s="67">
        <f t="shared" ca="1" si="17"/>
        <v>0.12233189027979638</v>
      </c>
      <c r="O43" s="67">
        <f t="shared" ca="1" si="17"/>
        <v>0.13023135326042107</v>
      </c>
      <c r="P43" s="67">
        <f t="shared" ca="1" si="17"/>
        <v>0.13874593192295859</v>
      </c>
      <c r="Q43" s="67">
        <f t="shared" ca="1" si="17"/>
        <v>0.14789407973786653</v>
      </c>
      <c r="R43" s="67">
        <f t="shared" ca="1" si="17"/>
        <v>0.15769480377971629</v>
      </c>
    </row>
    <row r="44" spans="1:18" x14ac:dyDescent="0.2"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</row>
    <row r="45" spans="1:18" x14ac:dyDescent="0.2">
      <c r="C45" t="s">
        <v>83</v>
      </c>
      <c r="D45" s="59"/>
      <c r="E45" s="59"/>
      <c r="F45" s="59"/>
      <c r="G45" s="59"/>
      <c r="H45" s="68">
        <f>H35+H42</f>
        <v>7818</v>
      </c>
      <c r="I45" s="68">
        <f t="shared" ref="I45:L45" si="18">I35+I42</f>
        <v>9849</v>
      </c>
      <c r="J45" s="68">
        <f t="shared" si="18"/>
        <v>11632</v>
      </c>
      <c r="K45" s="68">
        <f t="shared" si="18"/>
        <v>12670</v>
      </c>
      <c r="L45" s="68">
        <f t="shared" si="18"/>
        <v>12902</v>
      </c>
      <c r="M45" s="68">
        <f ca="1">M27*M46</f>
        <v>13653.091168581961</v>
      </c>
      <c r="N45" s="68">
        <f t="shared" ref="N45:R45" ca="1" si="19">N27*N46</f>
        <v>14508.035481236746</v>
      </c>
      <c r="O45" s="68">
        <f t="shared" ca="1" si="19"/>
        <v>15408.737008414453</v>
      </c>
      <c r="P45" s="68">
        <f t="shared" ca="1" si="19"/>
        <v>16357.458181921138</v>
      </c>
      <c r="Q45" s="68">
        <f t="shared" ca="1" si="19"/>
        <v>17356.568064710395</v>
      </c>
      <c r="R45" s="68">
        <f t="shared" ca="1" si="19"/>
        <v>18408.547217614519</v>
      </c>
    </row>
    <row r="46" spans="1:18" s="57" customFormat="1" x14ac:dyDescent="0.2">
      <c r="A46" s="56"/>
      <c r="C46" s="58" t="s">
        <v>91</v>
      </c>
      <c r="D46" s="60"/>
      <c r="E46" s="60"/>
      <c r="F46" s="60"/>
      <c r="G46" s="60"/>
      <c r="H46" s="67">
        <f>H45/H$27</f>
        <v>0.46400379844501155</v>
      </c>
      <c r="I46" s="67">
        <f>I45/I$27</f>
        <v>0.50129790807756913</v>
      </c>
      <c r="J46" s="67">
        <f>J45/J$27</f>
        <v>0.52733702058210175</v>
      </c>
      <c r="K46" s="67">
        <f>K45/K$27</f>
        <v>0.53729697637928842</v>
      </c>
      <c r="L46" s="67">
        <f>L45/L$27</f>
        <v>0.53843585677322425</v>
      </c>
      <c r="M46" s="67">
        <f t="shared" ref="M46:R46" ca="1" si="20">OFFSET(M46,scen,0)</f>
        <v>0.54852558542931484</v>
      </c>
      <c r="N46" s="67">
        <f t="shared" ca="1" si="20"/>
        <v>0.56112997851245794</v>
      </c>
      <c r="O46" s="67">
        <f t="shared" ca="1" si="20"/>
        <v>0.57373437159560103</v>
      </c>
      <c r="P46" s="67">
        <f t="shared" ca="1" si="20"/>
        <v>0.58633876467874413</v>
      </c>
      <c r="Q46" s="67">
        <f t="shared" ca="1" si="20"/>
        <v>0.59894315776188722</v>
      </c>
      <c r="R46" s="67">
        <f t="shared" ca="1" si="20"/>
        <v>0.6115475508450301</v>
      </c>
    </row>
    <row r="47" spans="1:18" s="57" customFormat="1" x14ac:dyDescent="0.2">
      <c r="A47" s="56"/>
      <c r="C47" s="58" t="s">
        <v>134</v>
      </c>
      <c r="D47" s="60"/>
      <c r="E47" s="60"/>
      <c r="F47" s="60"/>
      <c r="G47" s="60"/>
      <c r="H47" s="60"/>
      <c r="I47" s="67"/>
      <c r="J47" s="67"/>
      <c r="K47" s="67"/>
      <c r="L47" s="67"/>
      <c r="M47" s="82">
        <f>'Estimates IS'!H14</f>
        <v>0.54852558542931484</v>
      </c>
      <c r="N47" s="82">
        <f>'Estimates IS'!I14</f>
        <v>0.55479339521892712</v>
      </c>
      <c r="O47" s="82">
        <f>'Estimates IS'!J14</f>
        <v>0.56139183529688053</v>
      </c>
      <c r="P47" s="82">
        <f>'Estimates IS'!K14</f>
        <v>0.56057838660578385</v>
      </c>
      <c r="Q47" s="82">
        <f>'Estimates IS'!L14</f>
        <v>0.57712168837000444</v>
      </c>
      <c r="R47" s="82">
        <f>'Estimates IS'!M14</f>
        <v>0.58242623890002865</v>
      </c>
    </row>
    <row r="48" spans="1:18" s="57" customFormat="1" x14ac:dyDescent="0.2">
      <c r="A48" s="56"/>
      <c r="C48" s="58" t="s">
        <v>135</v>
      </c>
      <c r="D48" s="60"/>
      <c r="E48" s="60"/>
      <c r="F48" s="60"/>
      <c r="G48" s="60"/>
      <c r="H48" s="60"/>
      <c r="I48" s="67"/>
      <c r="J48" s="67"/>
      <c r="K48" s="67"/>
      <c r="L48" s="67"/>
      <c r="M48" s="72">
        <f>M47*(1+I17)</f>
        <v>0.52109930615784905</v>
      </c>
      <c r="N48" s="72">
        <f>M48-(($M$48-$R$48)/($R$26-$M$26))</f>
        <v>0.5158919055392841</v>
      </c>
      <c r="O48" s="72">
        <f t="shared" ref="O48:Q48" si="21">N48-(($M$48-$R$48)/($R$26-$M$26))</f>
        <v>0.51068450492071915</v>
      </c>
      <c r="P48" s="72">
        <f t="shared" si="21"/>
        <v>0.5054771043021542</v>
      </c>
      <c r="Q48" s="72">
        <f t="shared" si="21"/>
        <v>0.50026970368358925</v>
      </c>
      <c r="R48" s="72">
        <f>R47*(1+I18)</f>
        <v>0.49506230306502436</v>
      </c>
    </row>
    <row r="49" spans="1:18" s="57" customFormat="1" x14ac:dyDescent="0.2">
      <c r="A49" s="56"/>
      <c r="C49" s="58" t="s">
        <v>136</v>
      </c>
      <c r="D49" s="60"/>
      <c r="E49" s="60"/>
      <c r="F49" s="60"/>
      <c r="G49" s="60"/>
      <c r="H49" s="60"/>
      <c r="I49" s="67"/>
      <c r="J49" s="67"/>
      <c r="K49" s="67"/>
      <c r="L49" s="67"/>
      <c r="M49" s="72">
        <f>M47*(1+Q17)</f>
        <v>0.54852558542931484</v>
      </c>
      <c r="N49" s="72">
        <f>M49+(($R$49-$M$49)/($R$26-$M$26))</f>
        <v>0.56112997851245794</v>
      </c>
      <c r="O49" s="72">
        <f t="shared" ref="O49:Q49" si="22">N49+(($R$49-$M$49)/($R$26-$M$26))</f>
        <v>0.57373437159560103</v>
      </c>
      <c r="P49" s="72">
        <f t="shared" si="22"/>
        <v>0.58633876467874413</v>
      </c>
      <c r="Q49" s="72">
        <f t="shared" si="22"/>
        <v>0.59894315776188722</v>
      </c>
      <c r="R49" s="72">
        <f>R47*(1+Q18)</f>
        <v>0.6115475508450301</v>
      </c>
    </row>
    <row r="50" spans="1:18" x14ac:dyDescent="0.2">
      <c r="D50" s="59"/>
      <c r="E50" s="59"/>
      <c r="F50" s="59"/>
      <c r="G50" s="59"/>
      <c r="H50" s="59"/>
      <c r="I50" s="59"/>
      <c r="J50" s="59"/>
      <c r="K50" s="59"/>
      <c r="L50" s="59"/>
      <c r="M50" s="70"/>
      <c r="N50" s="70"/>
      <c r="O50" s="70"/>
      <c r="P50" s="70"/>
      <c r="Q50" s="70"/>
      <c r="R50" s="70"/>
    </row>
    <row r="51" spans="1:18" x14ac:dyDescent="0.2">
      <c r="C51" t="s">
        <v>93</v>
      </c>
      <c r="D51" s="59"/>
      <c r="E51" s="59"/>
      <c r="F51" s="59"/>
      <c r="G51" s="59"/>
      <c r="H51" s="83">
        <f>IS!H14*-1</f>
        <v>-1536</v>
      </c>
      <c r="I51" s="83">
        <f>IS!I14*-1</f>
        <v>-1580</v>
      </c>
      <c r="J51" s="83">
        <f>IS!J14*-1</f>
        <v>-1780</v>
      </c>
      <c r="K51" s="83">
        <f>IS!K14*-1</f>
        <v>-1830</v>
      </c>
      <c r="L51" s="83">
        <f>IS!L14*-1</f>
        <v>-1939</v>
      </c>
      <c r="M51" s="59">
        <f ca="1">M27*M52*-1</f>
        <v>-2032.4745569167392</v>
      </c>
      <c r="N51" s="59">
        <f t="shared" ref="N51:R51" ca="1" si="23">N27*N52*-1</f>
        <v>-2084.6724131252313</v>
      </c>
      <c r="O51" s="59">
        <f t="shared" ca="1" si="23"/>
        <v>-2189.6340493642115</v>
      </c>
      <c r="P51" s="59">
        <f t="shared" ca="1" si="23"/>
        <v>-2163.4458514510561</v>
      </c>
      <c r="Q51" s="59">
        <f t="shared" ca="1" si="23"/>
        <v>-1924.7536066835371</v>
      </c>
      <c r="R51" s="59">
        <f t="shared" ca="1" si="23"/>
        <v>-1917.4559554628249</v>
      </c>
    </row>
    <row r="52" spans="1:18" s="57" customFormat="1" x14ac:dyDescent="0.2">
      <c r="A52" s="56"/>
      <c r="C52" s="58" t="s">
        <v>89</v>
      </c>
      <c r="D52" s="60"/>
      <c r="E52" s="60"/>
      <c r="F52" s="60"/>
      <c r="G52" s="60"/>
      <c r="H52" s="67">
        <f>H51/H$27*-1</f>
        <v>9.1162680277761296E-2</v>
      </c>
      <c r="I52" s="67">
        <f t="shared" ref="I52:L52" si="24">I51/I$27*-1</f>
        <v>8.0419402453300759E-2</v>
      </c>
      <c r="J52" s="67">
        <f t="shared" si="24"/>
        <v>8.0696345996917218E-2</v>
      </c>
      <c r="K52" s="67">
        <f t="shared" si="24"/>
        <v>7.7604851363385782E-2</v>
      </c>
      <c r="L52" s="67">
        <f t="shared" si="24"/>
        <v>8.0919789666972705E-2</v>
      </c>
      <c r="M52" s="67">
        <f t="shared" ref="M52:R52" ca="1" si="25">OFFSET(M52,scen,0)</f>
        <v>8.1656548135299226E-2</v>
      </c>
      <c r="N52" s="67">
        <f t="shared" ca="1" si="25"/>
        <v>8.0629261480325315E-2</v>
      </c>
      <c r="O52" s="67">
        <f t="shared" ca="1" si="25"/>
        <v>8.1529609769462608E-2</v>
      </c>
      <c r="P52" s="67">
        <f t="shared" ca="1" si="25"/>
        <v>7.754946727549468E-2</v>
      </c>
      <c r="Q52" s="67">
        <f t="shared" ca="1" si="25"/>
        <v>6.6419697650052387E-2</v>
      </c>
      <c r="R52" s="67">
        <f t="shared" ca="1" si="25"/>
        <v>6.3699513033514746E-2</v>
      </c>
    </row>
    <row r="53" spans="1:18" s="57" customFormat="1" x14ac:dyDescent="0.2">
      <c r="A53" s="56"/>
      <c r="C53" s="58" t="s">
        <v>134</v>
      </c>
      <c r="D53" s="60"/>
      <c r="E53" s="60"/>
      <c r="F53" s="60"/>
      <c r="G53" s="60"/>
      <c r="H53" s="60"/>
      <c r="I53" s="67"/>
      <c r="J53" s="67"/>
      <c r="K53" s="67"/>
      <c r="L53" s="67"/>
      <c r="M53" s="82">
        <f>'Estimates IS'!H18</f>
        <v>8.1656548135299226E-2</v>
      </c>
      <c r="N53" s="82">
        <f>'Estimates IS'!I18</f>
        <v>8.0629261480325315E-2</v>
      </c>
      <c r="O53" s="82">
        <f>'Estimates IS'!J18</f>
        <v>8.1529609769462608E-2</v>
      </c>
      <c r="P53" s="82">
        <f>'Estimates IS'!K18</f>
        <v>7.754946727549468E-2</v>
      </c>
      <c r="Q53" s="82">
        <f>'Estimates IS'!L18</f>
        <v>6.6419697650052387E-2</v>
      </c>
      <c r="R53" s="82">
        <f>'Estimates IS'!M18</f>
        <v>6.3699513033514746E-2</v>
      </c>
    </row>
    <row r="54" spans="1:18" s="57" customFormat="1" x14ac:dyDescent="0.2">
      <c r="A54" s="56"/>
      <c r="C54" s="58" t="s">
        <v>135</v>
      </c>
      <c r="D54" s="60"/>
      <c r="E54" s="60"/>
      <c r="F54" s="60"/>
      <c r="G54" s="60"/>
      <c r="H54" s="60"/>
      <c r="I54" s="67"/>
      <c r="J54" s="67"/>
      <c r="K54" s="67"/>
      <c r="L54" s="67"/>
      <c r="M54" s="72">
        <f>M53*(1+I19)</f>
        <v>8.1656548135299226E-2</v>
      </c>
      <c r="N54" s="72">
        <f>M54</f>
        <v>8.1656548135299226E-2</v>
      </c>
      <c r="O54" s="72">
        <f t="shared" ref="O54:R54" si="26">N54</f>
        <v>8.1656548135299226E-2</v>
      </c>
      <c r="P54" s="72">
        <f t="shared" si="26"/>
        <v>8.1656548135299226E-2</v>
      </c>
      <c r="Q54" s="72">
        <f t="shared" si="26"/>
        <v>8.1656548135299226E-2</v>
      </c>
      <c r="R54" s="72">
        <f t="shared" si="26"/>
        <v>8.1656548135299226E-2</v>
      </c>
    </row>
    <row r="55" spans="1:18" s="57" customFormat="1" x14ac:dyDescent="0.2">
      <c r="A55" s="56"/>
      <c r="C55" s="58" t="s">
        <v>136</v>
      </c>
      <c r="D55" s="60"/>
      <c r="E55" s="60"/>
      <c r="F55" s="60"/>
      <c r="G55" s="60"/>
      <c r="H55" s="60"/>
      <c r="I55" s="67"/>
      <c r="J55" s="67"/>
      <c r="K55" s="67"/>
      <c r="L55" s="67"/>
      <c r="M55" s="72">
        <f>M53*(1+Q19)</f>
        <v>8.1656548135299226E-2</v>
      </c>
      <c r="N55" s="72">
        <f t="shared" ref="N55:R55" si="27">N53*(1+R19)</f>
        <v>8.0629261480325315E-2</v>
      </c>
      <c r="O55" s="72">
        <f t="shared" si="27"/>
        <v>8.1529609769462608E-2</v>
      </c>
      <c r="P55" s="72">
        <f t="shared" si="27"/>
        <v>7.754946727549468E-2</v>
      </c>
      <c r="Q55" s="72">
        <f t="shared" si="27"/>
        <v>6.6419697650052387E-2</v>
      </c>
      <c r="R55" s="72">
        <f t="shared" si="27"/>
        <v>6.3699513033514746E-2</v>
      </c>
    </row>
    <row r="56" spans="1:18" x14ac:dyDescent="0.2"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</row>
    <row r="57" spans="1:18" x14ac:dyDescent="0.2">
      <c r="C57" t="s">
        <v>84</v>
      </c>
      <c r="D57" s="59"/>
      <c r="E57" s="59"/>
      <c r="F57" s="59"/>
      <c r="G57" s="59"/>
      <c r="H57" s="68">
        <f>H45+H51</f>
        <v>6282</v>
      </c>
      <c r="I57" s="68">
        <f t="shared" ref="I57:K57" si="28">I45+I51</f>
        <v>8269</v>
      </c>
      <c r="J57" s="68">
        <f t="shared" si="28"/>
        <v>9852</v>
      </c>
      <c r="K57" s="68">
        <f t="shared" si="28"/>
        <v>10840</v>
      </c>
      <c r="L57" s="68">
        <f>L45+L51</f>
        <v>10963</v>
      </c>
      <c r="M57" s="68">
        <f t="shared" ref="M57:R57" ca="1" si="29">M45+M51</f>
        <v>11620.616611665222</v>
      </c>
      <c r="N57" s="68">
        <f t="shared" ca="1" si="29"/>
        <v>12423.363068111514</v>
      </c>
      <c r="O57" s="68">
        <f t="shared" ca="1" si="29"/>
        <v>13219.102959050242</v>
      </c>
      <c r="P57" s="68">
        <f t="shared" ca="1" si="29"/>
        <v>14194.012330470083</v>
      </c>
      <c r="Q57" s="68">
        <f t="shared" ca="1" si="29"/>
        <v>15431.814458026858</v>
      </c>
      <c r="R57" s="68">
        <f t="shared" ca="1" si="29"/>
        <v>16491.091262151695</v>
      </c>
    </row>
    <row r="58" spans="1:18" s="57" customFormat="1" x14ac:dyDescent="0.2">
      <c r="A58" s="56"/>
      <c r="C58" s="58" t="s">
        <v>91</v>
      </c>
      <c r="D58" s="60"/>
      <c r="E58" s="60"/>
      <c r="F58" s="60"/>
      <c r="G58" s="60"/>
      <c r="H58" s="67">
        <f>H57/H$27</f>
        <v>0.3728411181672503</v>
      </c>
      <c r="I58" s="67">
        <f>I57/I$27</f>
        <v>0.42087850562426832</v>
      </c>
      <c r="J58" s="67">
        <f>J57/J$27</f>
        <v>0.44664067458518453</v>
      </c>
      <c r="K58" s="67">
        <f>K57/K$27</f>
        <v>0.45969212501590262</v>
      </c>
      <c r="L58" s="67">
        <f>L57/L$27</f>
        <v>0.45751606710625159</v>
      </c>
      <c r="M58" s="67">
        <f t="shared" ref="M58:R58" ca="1" si="30">M57/M$27</f>
        <v>0.46686903729401563</v>
      </c>
      <c r="N58" s="67">
        <f t="shared" ca="1" si="30"/>
        <v>0.4805007170321326</v>
      </c>
      <c r="O58" s="67">
        <f t="shared" ca="1" si="30"/>
        <v>0.49220476182613843</v>
      </c>
      <c r="P58" s="67">
        <f t="shared" ca="1" si="30"/>
        <v>0.50878929740324952</v>
      </c>
      <c r="Q58" s="67">
        <f t="shared" ca="1" si="30"/>
        <v>0.53252346011183493</v>
      </c>
      <c r="R58" s="67">
        <f t="shared" ca="1" si="30"/>
        <v>0.54784803781151536</v>
      </c>
    </row>
    <row r="59" spans="1:18" x14ac:dyDescent="0.2"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</row>
    <row r="60" spans="1:18" x14ac:dyDescent="0.2">
      <c r="C60" t="s">
        <v>94</v>
      </c>
      <c r="D60" s="59"/>
      <c r="E60" s="59"/>
      <c r="F60" s="59"/>
      <c r="G60" s="59"/>
      <c r="H60" s="83">
        <f>IS!H25*-1</f>
        <v>-1075</v>
      </c>
      <c r="I60" s="83">
        <f>IS!I25*-1</f>
        <v>-1010</v>
      </c>
      <c r="J60" s="83">
        <f>IS!J25*-1</f>
        <v>-1236</v>
      </c>
      <c r="K60" s="83">
        <f>IS!K25*-1</f>
        <v>-1297</v>
      </c>
      <c r="L60" s="83">
        <f>IS!L25*-1</f>
        <v>-1435</v>
      </c>
      <c r="M60" s="59">
        <f ca="1">M27*M61*-1</f>
        <v>-1490.60625</v>
      </c>
      <c r="N60" s="59">
        <f t="shared" ref="N60:R60" ca="1" si="31">N27*N61*-1</f>
        <v>-1548.3672421874999</v>
      </c>
      <c r="O60" s="59">
        <f t="shared" ca="1" si="31"/>
        <v>-1608.3664728222657</v>
      </c>
      <c r="P60" s="59">
        <f t="shared" ca="1" si="31"/>
        <v>-1670.6906736441288</v>
      </c>
      <c r="Q60" s="59">
        <f t="shared" ca="1" si="31"/>
        <v>-1735.4299372478388</v>
      </c>
      <c r="R60" s="59">
        <f t="shared" ca="1" si="31"/>
        <v>-1802.6778473161926</v>
      </c>
    </row>
    <row r="61" spans="1:18" x14ac:dyDescent="0.2">
      <c r="C61" s="58" t="s">
        <v>89</v>
      </c>
      <c r="D61" s="59"/>
      <c r="E61" s="59"/>
      <c r="F61" s="59"/>
      <c r="G61" s="59"/>
      <c r="H61" s="85">
        <f>H60/H27*-1</f>
        <v>6.3802006053771732E-2</v>
      </c>
      <c r="I61" s="85">
        <f t="shared" ref="I61:L61" si="32">I60/I27*-1</f>
        <v>5.1407339542932765E-2</v>
      </c>
      <c r="J61" s="85">
        <f t="shared" si="32"/>
        <v>5.6034091939432408E-2</v>
      </c>
      <c r="K61" s="85">
        <f t="shared" si="32"/>
        <v>5.5001908316017131E-2</v>
      </c>
      <c r="L61" s="85">
        <f t="shared" si="32"/>
        <v>5.9886486937651279E-2</v>
      </c>
      <c r="M61" s="72">
        <f>L61</f>
        <v>5.9886486937651279E-2</v>
      </c>
      <c r="N61" s="72">
        <f t="shared" ref="N61:R61" si="33">M61</f>
        <v>5.9886486937651279E-2</v>
      </c>
      <c r="O61" s="72">
        <f t="shared" si="33"/>
        <v>5.9886486937651279E-2</v>
      </c>
      <c r="P61" s="72">
        <f t="shared" si="33"/>
        <v>5.9886486937651279E-2</v>
      </c>
      <c r="Q61" s="72">
        <f t="shared" si="33"/>
        <v>5.9886486937651279E-2</v>
      </c>
      <c r="R61" s="72">
        <f t="shared" si="33"/>
        <v>5.9886486937651279E-2</v>
      </c>
    </row>
    <row r="62" spans="1:18" x14ac:dyDescent="0.2">
      <c r="C62" s="57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</row>
    <row r="63" spans="1:18" x14ac:dyDescent="0.2">
      <c r="C63" t="s">
        <v>95</v>
      </c>
      <c r="D63" s="59"/>
      <c r="E63" s="59"/>
      <c r="F63" s="59"/>
      <c r="G63" s="59"/>
      <c r="H63" s="68">
        <f>H57+H60</f>
        <v>5207</v>
      </c>
      <c r="I63" s="68">
        <f t="shared" ref="I63:R63" si="34">I57+I60</f>
        <v>7259</v>
      </c>
      <c r="J63" s="68">
        <f t="shared" si="34"/>
        <v>8616</v>
      </c>
      <c r="K63" s="68">
        <f t="shared" si="34"/>
        <v>9543</v>
      </c>
      <c r="L63" s="68">
        <f t="shared" si="34"/>
        <v>9528</v>
      </c>
      <c r="M63" s="68">
        <f t="shared" ca="1" si="34"/>
        <v>10130.010361665221</v>
      </c>
      <c r="N63" s="68">
        <f t="shared" ca="1" si="34"/>
        <v>10874.995825924014</v>
      </c>
      <c r="O63" s="68">
        <f t="shared" ca="1" si="34"/>
        <v>11610.736486227976</v>
      </c>
      <c r="P63" s="68">
        <f t="shared" ca="1" si="34"/>
        <v>12523.321656825954</v>
      </c>
      <c r="Q63" s="68">
        <f t="shared" ca="1" si="34"/>
        <v>13696.38452077902</v>
      </c>
      <c r="R63" s="68">
        <f t="shared" ca="1" si="34"/>
        <v>14688.413414835502</v>
      </c>
    </row>
    <row r="64" spans="1:18" s="57" customFormat="1" x14ac:dyDescent="0.2">
      <c r="A64" s="56"/>
      <c r="C64" s="58" t="s">
        <v>91</v>
      </c>
      <c r="D64" s="60"/>
      <c r="E64" s="60"/>
      <c r="F64" s="60"/>
      <c r="G64" s="60"/>
      <c r="H64" s="67">
        <f>H63/H$27</f>
        <v>0.30903911211347856</v>
      </c>
      <c r="I64" s="67">
        <f>I63/I$27</f>
        <v>0.36947116608133557</v>
      </c>
      <c r="J64" s="67">
        <f>J63/J$27</f>
        <v>0.3906065826457521</v>
      </c>
      <c r="K64" s="67">
        <f>K63/K$27</f>
        <v>0.40469021669988547</v>
      </c>
      <c r="L64" s="67">
        <f>L63/L$27</f>
        <v>0.39762958016860028</v>
      </c>
      <c r="M64" s="67">
        <f t="shared" ref="M64:R64" ca="1" si="35">M63/M$27</f>
        <v>0.40698255035636433</v>
      </c>
      <c r="N64" s="67">
        <f t="shared" ca="1" si="35"/>
        <v>0.42061423009448135</v>
      </c>
      <c r="O64" s="67">
        <f t="shared" ca="1" si="35"/>
        <v>0.43231827488848712</v>
      </c>
      <c r="P64" s="67">
        <f t="shared" ca="1" si="35"/>
        <v>0.44890281046559821</v>
      </c>
      <c r="Q64" s="67">
        <f t="shared" ca="1" si="35"/>
        <v>0.47263697317418363</v>
      </c>
      <c r="R64" s="67">
        <f t="shared" ca="1" si="35"/>
        <v>0.48796155087386411</v>
      </c>
    </row>
    <row r="65" spans="1:18" x14ac:dyDescent="0.2"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</row>
    <row r="66" spans="1:18" x14ac:dyDescent="0.2">
      <c r="C66" t="s">
        <v>112</v>
      </c>
      <c r="D66" s="59"/>
      <c r="E66" s="59"/>
      <c r="F66" s="59"/>
      <c r="G66" s="59"/>
      <c r="H66" s="83">
        <f>IS!H33*-1</f>
        <v>-1237</v>
      </c>
      <c r="I66" s="83">
        <f>IS!I33*-1</f>
        <v>-1339</v>
      </c>
      <c r="J66" s="83">
        <f>IS!J33*-1</f>
        <v>-1568</v>
      </c>
      <c r="K66" s="83">
        <f>IS!K33*-1</f>
        <v>-1899</v>
      </c>
      <c r="L66" s="83">
        <f>IS!L33*-1</f>
        <v>-1961</v>
      </c>
      <c r="M66" s="59">
        <f ca="1">M63*M67*-1</f>
        <v>-2043.8733468945488</v>
      </c>
      <c r="N66" s="59">
        <f t="shared" ref="N66:R66" ca="1" si="36">N63*N67*-1</f>
        <v>-2194.184736504234</v>
      </c>
      <c r="O66" s="59">
        <f t="shared" ca="1" si="36"/>
        <v>-2342.6308557216939</v>
      </c>
      <c r="P66" s="59">
        <f t="shared" ca="1" si="36"/>
        <v>-2526.7578645167582</v>
      </c>
      <c r="Q66" s="59">
        <f t="shared" ca="1" si="36"/>
        <v>-2763.4399444224819</v>
      </c>
      <c r="R66" s="59">
        <f t="shared" ca="1" si="36"/>
        <v>-2963.5958518225625</v>
      </c>
    </row>
    <row r="67" spans="1:18" s="57" customFormat="1" x14ac:dyDescent="0.2">
      <c r="A67" s="56"/>
      <c r="C67" s="58" t="s">
        <v>113</v>
      </c>
      <c r="D67" s="60"/>
      <c r="E67" s="60"/>
      <c r="F67" s="60"/>
      <c r="G67" s="60"/>
      <c r="H67" s="67">
        <f>H66/H63*-1</f>
        <v>0.23756481659304782</v>
      </c>
      <c r="I67" s="67">
        <f t="shared" ref="I67:L67" si="37">I66/I63*-1</f>
        <v>0.18446066951370713</v>
      </c>
      <c r="J67" s="67">
        <f t="shared" si="37"/>
        <v>0.18198700092850512</v>
      </c>
      <c r="K67" s="67">
        <f t="shared" si="37"/>
        <v>0.19899402703552341</v>
      </c>
      <c r="L67" s="67">
        <f t="shared" si="37"/>
        <v>0.20581444164567592</v>
      </c>
      <c r="M67" s="72">
        <f>AVERAGE(H67:L67)</f>
        <v>0.20176419114329186</v>
      </c>
      <c r="N67" s="72">
        <f>M67</f>
        <v>0.20176419114329186</v>
      </c>
      <c r="O67" s="72">
        <f t="shared" ref="O67:R67" si="38">N67</f>
        <v>0.20176419114329186</v>
      </c>
      <c r="P67" s="72">
        <f t="shared" si="38"/>
        <v>0.20176419114329186</v>
      </c>
      <c r="Q67" s="72">
        <f t="shared" si="38"/>
        <v>0.20176419114329186</v>
      </c>
      <c r="R67" s="72">
        <f t="shared" si="38"/>
        <v>0.20176419114329186</v>
      </c>
    </row>
    <row r="68" spans="1:18" x14ac:dyDescent="0.2"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</row>
    <row r="69" spans="1:18" x14ac:dyDescent="0.2">
      <c r="C69" t="s">
        <v>96</v>
      </c>
      <c r="D69" s="59"/>
      <c r="E69" s="59"/>
      <c r="F69" s="59"/>
      <c r="G69" s="59"/>
      <c r="H69" s="68">
        <f>H63+H66</f>
        <v>3970</v>
      </c>
      <c r="I69" s="68">
        <f t="shared" ref="I69:R69" si="39">I63+I66</f>
        <v>5920</v>
      </c>
      <c r="J69" s="68">
        <f t="shared" si="39"/>
        <v>7048</v>
      </c>
      <c r="K69" s="68">
        <f t="shared" si="39"/>
        <v>7644</v>
      </c>
      <c r="L69" s="68">
        <f t="shared" si="39"/>
        <v>7567</v>
      </c>
      <c r="M69" s="68">
        <f t="shared" ca="1" si="39"/>
        <v>8086.137014770673</v>
      </c>
      <c r="N69" s="68">
        <f t="shared" ca="1" si="39"/>
        <v>8680.8110894197798</v>
      </c>
      <c r="O69" s="68">
        <f t="shared" ca="1" si="39"/>
        <v>9268.1056305062812</v>
      </c>
      <c r="P69" s="68">
        <f t="shared" ca="1" si="39"/>
        <v>9996.5637923091963</v>
      </c>
      <c r="Q69" s="68">
        <f t="shared" ca="1" si="39"/>
        <v>10932.944576356538</v>
      </c>
      <c r="R69" s="68">
        <f t="shared" ca="1" si="39"/>
        <v>11724.817563012941</v>
      </c>
    </row>
    <row r="70" spans="1:18" s="57" customFormat="1" x14ac:dyDescent="0.2">
      <c r="A70" s="56"/>
      <c r="C70" s="58" t="s">
        <v>91</v>
      </c>
      <c r="D70" s="60"/>
      <c r="E70" s="60"/>
      <c r="F70" s="60"/>
      <c r="G70" s="60"/>
      <c r="H70" s="67">
        <f>H69/H$27</f>
        <v>0.23562229212416166</v>
      </c>
      <c r="I70" s="67">
        <f>I69/I$27</f>
        <v>0.30131826741996232</v>
      </c>
      <c r="J70" s="67">
        <f>J69/J$27</f>
        <v>0.3195212621271194</v>
      </c>
      <c r="K70" s="67">
        <f>K69/K$27</f>
        <v>0.32415928077689665</v>
      </c>
      <c r="L70" s="67">
        <f>L69/L$27</f>
        <v>0.3157916701443953</v>
      </c>
      <c r="M70" s="67">
        <f t="shared" ref="M70:R70" ca="1" si="40">M69/M$27</f>
        <v>0.32486804527427843</v>
      </c>
      <c r="N70" s="67">
        <f t="shared" ca="1" si="40"/>
        <v>0.33574934017610986</v>
      </c>
      <c r="O70" s="67">
        <f t="shared" ca="1" si="40"/>
        <v>0.34509192783914822</v>
      </c>
      <c r="P70" s="67">
        <f t="shared" ca="1" si="40"/>
        <v>0.35833029801005634</v>
      </c>
      <c r="Q70" s="67">
        <f t="shared" ca="1" si="40"/>
        <v>0.37727575657728074</v>
      </c>
      <c r="R70" s="67">
        <f t="shared" ca="1" si="40"/>
        <v>0.38950838325277271</v>
      </c>
    </row>
    <row r="71" spans="1:18" x14ac:dyDescent="0.2"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</row>
    <row r="72" spans="1:18" x14ac:dyDescent="0.2">
      <c r="A72" s="7" t="s">
        <v>7</v>
      </c>
      <c r="C72" s="4" t="s">
        <v>2</v>
      </c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</row>
    <row r="73" spans="1:18" x14ac:dyDescent="0.2"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</row>
    <row r="74" spans="1:18" ht="19" x14ac:dyDescent="0.35">
      <c r="C74" s="8"/>
      <c r="D74" s="62"/>
      <c r="E74" s="62"/>
      <c r="F74" s="62"/>
      <c r="G74" s="62"/>
      <c r="H74" s="63" t="s">
        <v>10</v>
      </c>
      <c r="I74" s="64"/>
      <c r="J74" s="64"/>
      <c r="K74" s="64"/>
      <c r="L74" s="64"/>
      <c r="M74" s="65" t="s">
        <v>11</v>
      </c>
      <c r="N74" s="65"/>
      <c r="O74" s="65"/>
      <c r="P74" s="65"/>
      <c r="Q74" s="65"/>
      <c r="R74" s="65"/>
    </row>
    <row r="75" spans="1:18" x14ac:dyDescent="0.2">
      <c r="C75" s="86" t="s">
        <v>237</v>
      </c>
      <c r="D75" s="62"/>
      <c r="E75" s="62"/>
      <c r="F75" s="62"/>
      <c r="G75" s="62"/>
      <c r="H75" s="86">
        <v>2020</v>
      </c>
      <c r="I75" s="86">
        <f>+H75+1</f>
        <v>2021</v>
      </c>
      <c r="J75" s="86">
        <f t="shared" ref="J75:R75" si="41">+I75+1</f>
        <v>2022</v>
      </c>
      <c r="K75" s="86">
        <f t="shared" si="41"/>
        <v>2023</v>
      </c>
      <c r="L75" s="86">
        <f t="shared" si="41"/>
        <v>2024</v>
      </c>
      <c r="M75" s="87">
        <f>+L75+1</f>
        <v>2025</v>
      </c>
      <c r="N75" s="87">
        <f>+M75+1</f>
        <v>2026</v>
      </c>
      <c r="O75" s="87">
        <f>+N75+1</f>
        <v>2027</v>
      </c>
      <c r="P75" s="87">
        <f t="shared" si="41"/>
        <v>2028</v>
      </c>
      <c r="Q75" s="87">
        <f t="shared" si="41"/>
        <v>2029</v>
      </c>
      <c r="R75" s="87">
        <f t="shared" si="41"/>
        <v>2030</v>
      </c>
    </row>
    <row r="76" spans="1:18" x14ac:dyDescent="0.2">
      <c r="C76" t="s">
        <v>84</v>
      </c>
      <c r="D76" s="59"/>
      <c r="E76" s="59"/>
      <c r="F76" s="59"/>
      <c r="G76" s="59"/>
      <c r="H76" s="88"/>
      <c r="I76" s="88"/>
      <c r="J76" s="88"/>
      <c r="K76" s="88"/>
      <c r="L76" s="88"/>
      <c r="M76" s="59">
        <f ca="1">M57</f>
        <v>11620.616611665222</v>
      </c>
      <c r="N76" s="59">
        <f t="shared" ref="N76:R76" ca="1" si="42">N57</f>
        <v>12423.363068111514</v>
      </c>
      <c r="O76" s="59">
        <f t="shared" ca="1" si="42"/>
        <v>13219.102959050242</v>
      </c>
      <c r="P76" s="59">
        <f t="shared" ca="1" si="42"/>
        <v>14194.012330470083</v>
      </c>
      <c r="Q76" s="59">
        <f t="shared" ca="1" si="42"/>
        <v>15431.814458026858</v>
      </c>
      <c r="R76" s="59">
        <f t="shared" ca="1" si="42"/>
        <v>16491.091262151695</v>
      </c>
    </row>
    <row r="77" spans="1:18" x14ac:dyDescent="0.2">
      <c r="C77" t="s">
        <v>97</v>
      </c>
      <c r="D77" s="59"/>
      <c r="E77" s="59"/>
      <c r="F77" s="59"/>
      <c r="G77" s="59"/>
      <c r="H77" s="88"/>
      <c r="I77" s="88"/>
      <c r="J77" s="88"/>
      <c r="K77" s="88"/>
      <c r="L77" s="88"/>
      <c r="M77" s="70">
        <f>(1-M67)</f>
        <v>0.79823580885670808</v>
      </c>
      <c r="N77" s="70">
        <f t="shared" ref="N77:R77" si="43">(1-N67)</f>
        <v>0.79823580885670808</v>
      </c>
      <c r="O77" s="70">
        <f t="shared" si="43"/>
        <v>0.79823580885670808</v>
      </c>
      <c r="P77" s="70">
        <f t="shared" si="43"/>
        <v>0.79823580885670808</v>
      </c>
      <c r="Q77" s="70">
        <f t="shared" si="43"/>
        <v>0.79823580885670808</v>
      </c>
      <c r="R77" s="70">
        <f t="shared" si="43"/>
        <v>0.79823580885670808</v>
      </c>
    </row>
    <row r="78" spans="1:18" x14ac:dyDescent="0.2">
      <c r="C78" s="18" t="s">
        <v>98</v>
      </c>
      <c r="D78" s="59"/>
      <c r="E78" s="59"/>
      <c r="F78" s="59"/>
      <c r="G78" s="59"/>
      <c r="H78" s="88"/>
      <c r="I78" s="88"/>
      <c r="J78" s="88"/>
      <c r="K78" s="88"/>
      <c r="L78" s="88"/>
      <c r="M78" s="68">
        <f ca="1">M76*M77</f>
        <v>9275.9923004262873</v>
      </c>
      <c r="N78" s="68">
        <f t="shared" ref="N78:R78" ca="1" si="44">N76*N77</f>
        <v>9916.7732673945484</v>
      </c>
      <c r="O78" s="68">
        <f t="shared" ca="1" si="44"/>
        <v>10551.961342877574</v>
      </c>
      <c r="P78" s="68">
        <f t="shared" ca="1" si="44"/>
        <v>11330.168913534875</v>
      </c>
      <c r="Q78" s="68">
        <f t="shared" ca="1" si="44"/>
        <v>12318.226896029711</v>
      </c>
      <c r="R78" s="68">
        <f t="shared" ca="1" si="44"/>
        <v>13163.779572573449</v>
      </c>
    </row>
    <row r="79" spans="1:18" x14ac:dyDescent="0.2">
      <c r="C79" t="s">
        <v>99</v>
      </c>
      <c r="D79" s="59"/>
      <c r="E79" s="59"/>
      <c r="F79" s="59"/>
      <c r="G79" s="59"/>
      <c r="H79" s="88"/>
      <c r="I79" s="88"/>
      <c r="J79" s="88"/>
      <c r="K79" s="88"/>
      <c r="L79" s="88"/>
      <c r="M79" s="59">
        <f ca="1">-M51</f>
        <v>2032.4745569167392</v>
      </c>
      <c r="N79" s="59">
        <f t="shared" ref="N79:R79" ca="1" si="45">-N51</f>
        <v>2084.6724131252313</v>
      </c>
      <c r="O79" s="59">
        <f t="shared" ca="1" si="45"/>
        <v>2189.6340493642115</v>
      </c>
      <c r="P79" s="59">
        <f t="shared" ca="1" si="45"/>
        <v>2163.4458514510561</v>
      </c>
      <c r="Q79" s="59">
        <f t="shared" ca="1" si="45"/>
        <v>1924.7536066835371</v>
      </c>
      <c r="R79" s="59">
        <f t="shared" ca="1" si="45"/>
        <v>1917.4559554628249</v>
      </c>
    </row>
    <row r="80" spans="1:18" x14ac:dyDescent="0.2">
      <c r="C80" t="s">
        <v>100</v>
      </c>
      <c r="D80" s="59"/>
      <c r="E80" s="59"/>
      <c r="F80" s="59"/>
      <c r="G80" s="59"/>
      <c r="H80" s="88"/>
      <c r="I80" s="88"/>
      <c r="J80" s="88"/>
      <c r="K80" s="88"/>
      <c r="L80" s="88"/>
      <c r="M80" s="59">
        <f>-'Estimates IS'!H25</f>
        <v>-2707</v>
      </c>
      <c r="N80" s="59">
        <f>-'Estimates IS'!I25</f>
        <v>-2928</v>
      </c>
      <c r="O80" s="59">
        <f>-'Estimates IS'!J25</f>
        <v>-3261</v>
      </c>
      <c r="P80" s="59">
        <f>-'Estimates IS'!K25</f>
        <v>-3525</v>
      </c>
      <c r="Q80" s="59">
        <f>-'Estimates IS'!L25</f>
        <v>-3774.0819325740654</v>
      </c>
      <c r="R80" s="59">
        <f>-'Estimates IS'!M25</f>
        <v>-4040.7643783778699</v>
      </c>
    </row>
    <row r="81" spans="3:18" x14ac:dyDescent="0.2">
      <c r="C81" t="s">
        <v>101</v>
      </c>
      <c r="D81" s="59"/>
      <c r="E81" s="59"/>
      <c r="F81" s="59"/>
      <c r="G81" s="59"/>
      <c r="H81" s="88"/>
      <c r="I81" s="88"/>
      <c r="J81" s="88"/>
      <c r="K81" s="88"/>
      <c r="L81" s="88"/>
      <c r="M81" s="59">
        <f ca="1">-M151</f>
        <v>-46.811318743039692</v>
      </c>
      <c r="N81" s="59">
        <f t="shared" ref="N81:R81" ca="1" si="46">-N151</f>
        <v>-114.57320145629706</v>
      </c>
      <c r="O81" s="59">
        <f t="shared" ca="1" si="46"/>
        <v>-123.20730640995407</v>
      </c>
      <c r="P81" s="59">
        <f t="shared" ca="1" si="46"/>
        <v>-132.46922345894609</v>
      </c>
      <c r="Q81" s="59">
        <f t="shared" ca="1" si="46"/>
        <v>-142.40378150041215</v>
      </c>
      <c r="R81" s="59">
        <f t="shared" ca="1" si="46"/>
        <v>-153.05897983988734</v>
      </c>
    </row>
    <row r="82" spans="3:18" x14ac:dyDescent="0.2">
      <c r="C82" s="18" t="s">
        <v>102</v>
      </c>
      <c r="D82" s="59"/>
      <c r="E82" s="59"/>
      <c r="F82" s="59"/>
      <c r="G82" s="59"/>
      <c r="H82" s="88"/>
      <c r="I82" s="88"/>
      <c r="J82" s="88"/>
      <c r="K82" s="88"/>
      <c r="L82" s="88"/>
      <c r="M82" s="68">
        <f ca="1">SUM(M78:M81)</f>
        <v>8554.6555385999873</v>
      </c>
      <c r="N82" s="68">
        <f t="shared" ref="N82:R82" ca="1" si="47">SUM(N78:N81)</f>
        <v>8958.8724790634842</v>
      </c>
      <c r="O82" s="68">
        <f t="shared" ca="1" si="47"/>
        <v>9357.3880858318298</v>
      </c>
      <c r="P82" s="68">
        <f t="shared" ca="1" si="47"/>
        <v>9836.1455415269847</v>
      </c>
      <c r="Q82" s="68">
        <f t="shared" ca="1" si="47"/>
        <v>10326.494788638771</v>
      </c>
      <c r="R82" s="68">
        <f t="shared" ca="1" si="47"/>
        <v>10887.412169818517</v>
      </c>
    </row>
    <row r="83" spans="3:18" s="59" customFormat="1" x14ac:dyDescent="0.2"/>
    <row r="84" spans="3:18" x14ac:dyDescent="0.2">
      <c r="C84" t="s">
        <v>214</v>
      </c>
      <c r="D84" s="59"/>
      <c r="E84" s="59"/>
      <c r="F84" s="59"/>
      <c r="G84" s="59"/>
      <c r="H84" s="88"/>
      <c r="I84" s="88"/>
      <c r="J84" s="88"/>
      <c r="K84" s="88"/>
      <c r="L84" s="88"/>
      <c r="M84" s="59">
        <v>1</v>
      </c>
      <c r="N84" s="59">
        <f>M84+1</f>
        <v>2</v>
      </c>
      <c r="O84" s="59">
        <f t="shared" ref="O84:R84" si="48">N84+1</f>
        <v>3</v>
      </c>
      <c r="P84" s="59">
        <f t="shared" si="48"/>
        <v>4</v>
      </c>
      <c r="Q84" s="59">
        <f t="shared" si="48"/>
        <v>5</v>
      </c>
      <c r="R84" s="59">
        <f t="shared" si="48"/>
        <v>6</v>
      </c>
    </row>
    <row r="85" spans="3:18" x14ac:dyDescent="0.2">
      <c r="C85" t="s">
        <v>215</v>
      </c>
      <c r="D85" s="59"/>
      <c r="E85" s="59"/>
      <c r="F85" s="59"/>
      <c r="G85" s="59"/>
      <c r="H85" s="88"/>
      <c r="I85" s="88"/>
      <c r="J85" s="88"/>
      <c r="K85" s="88"/>
      <c r="L85" s="88"/>
      <c r="M85" s="110">
        <f>1-(9/12)</f>
        <v>0.25</v>
      </c>
      <c r="N85" s="110">
        <f>M85+1</f>
        <v>1.25</v>
      </c>
      <c r="O85" s="110">
        <f t="shared" ref="O85:R85" si="49">N85+1</f>
        <v>2.25</v>
      </c>
      <c r="P85" s="110">
        <f t="shared" si="49"/>
        <v>3.25</v>
      </c>
      <c r="Q85" s="110">
        <f t="shared" si="49"/>
        <v>4.25</v>
      </c>
      <c r="R85" s="110">
        <f t="shared" si="49"/>
        <v>5.25</v>
      </c>
    </row>
    <row r="86" spans="3:18" x14ac:dyDescent="0.2">
      <c r="C86" t="s">
        <v>103</v>
      </c>
      <c r="D86" s="59"/>
      <c r="E86" s="59"/>
      <c r="F86" s="59"/>
      <c r="G86" s="59"/>
      <c r="H86" s="88"/>
      <c r="I86" s="88"/>
      <c r="J86" s="88"/>
      <c r="K86" s="88"/>
      <c r="L86" s="88"/>
      <c r="M86" s="111">
        <f>M85*0.5</f>
        <v>0.125</v>
      </c>
      <c r="N86" s="110">
        <f>M85+0.5</f>
        <v>0.75</v>
      </c>
      <c r="O86" s="110">
        <f>N86+1</f>
        <v>1.75</v>
      </c>
      <c r="P86" s="110">
        <f t="shared" ref="P86:R86" si="50">O86+1</f>
        <v>2.75</v>
      </c>
      <c r="Q86" s="110">
        <f t="shared" si="50"/>
        <v>3.75</v>
      </c>
      <c r="R86" s="110">
        <f t="shared" si="50"/>
        <v>4.75</v>
      </c>
    </row>
    <row r="87" spans="3:18" s="59" customFormat="1" x14ac:dyDescent="0.2"/>
    <row r="88" spans="3:18" x14ac:dyDescent="0.2">
      <c r="C88" s="18" t="s">
        <v>104</v>
      </c>
      <c r="D88" s="59"/>
      <c r="E88" s="59"/>
      <c r="F88" s="59"/>
      <c r="G88" s="59"/>
      <c r="H88" s="88"/>
      <c r="I88" s="88"/>
      <c r="J88" s="88"/>
      <c r="K88" s="88"/>
      <c r="L88" s="88"/>
      <c r="M88" s="68">
        <f t="shared" ref="M88:R88" ca="1" si="51">M82/(1+wacc)^M86</f>
        <v>8492.5731006020342</v>
      </c>
      <c r="N88" s="68">
        <f t="shared" ca="1" si="51"/>
        <v>8575.7864110055616</v>
      </c>
      <c r="O88" s="68">
        <f t="shared" ca="1" si="51"/>
        <v>8450.2464926519842</v>
      </c>
      <c r="P88" s="68">
        <f t="shared" ca="1" si="51"/>
        <v>8379.8031496603689</v>
      </c>
      <c r="Q88" s="68">
        <f t="shared" ca="1" si="51"/>
        <v>8299.5765598991329</v>
      </c>
      <c r="R88" s="68">
        <f t="shared" ca="1" si="51"/>
        <v>8255.0898488918701</v>
      </c>
    </row>
    <row r="89" spans="3:18" s="59" customFormat="1" x14ac:dyDescent="0.2"/>
    <row r="90" spans="3:18" x14ac:dyDescent="0.2">
      <c r="C90" s="66" t="s">
        <v>105</v>
      </c>
      <c r="D90" s="59"/>
      <c r="E90" s="59"/>
      <c r="F90" s="59"/>
      <c r="G90" s="59"/>
      <c r="H90" s="88"/>
      <c r="I90" s="88"/>
      <c r="J90" s="88"/>
      <c r="K90" s="88"/>
      <c r="L90" s="88"/>
      <c r="M90" s="59"/>
      <c r="N90" s="59"/>
      <c r="O90" s="59"/>
      <c r="P90" s="59"/>
      <c r="Q90" s="59"/>
      <c r="R90" s="59">
        <f ca="1">(R82*(1+Tgr))/(wacc-Tgr)</f>
        <v>349758.1159554199</v>
      </c>
    </row>
    <row r="91" spans="3:18" x14ac:dyDescent="0.2">
      <c r="C91" s="18" t="s">
        <v>106</v>
      </c>
      <c r="D91" s="59"/>
      <c r="E91" s="59"/>
      <c r="F91" s="59"/>
      <c r="G91" s="59"/>
      <c r="H91" s="88"/>
      <c r="I91" s="88"/>
      <c r="J91" s="88"/>
      <c r="K91" s="88"/>
      <c r="L91" s="88"/>
      <c r="M91" s="59"/>
      <c r="N91" s="59"/>
      <c r="O91" s="59"/>
      <c r="P91" s="59"/>
      <c r="Q91" s="59"/>
      <c r="R91" s="68">
        <f ca="1">R90/(1+wacc)^R86</f>
        <v>265194.76139565132</v>
      </c>
    </row>
    <row r="92" spans="3:18" s="59" customFormat="1" x14ac:dyDescent="0.2"/>
    <row r="93" spans="3:18" x14ac:dyDescent="0.2">
      <c r="C93" s="18" t="s">
        <v>107</v>
      </c>
      <c r="D93" s="59"/>
      <c r="E93" s="59"/>
      <c r="F93" s="59"/>
      <c r="G93" s="59"/>
      <c r="H93" s="88"/>
      <c r="I93" s="88"/>
      <c r="J93" s="88"/>
      <c r="K93" s="88"/>
      <c r="L93" s="88"/>
      <c r="M93" s="59"/>
      <c r="N93" s="59"/>
      <c r="O93" s="59"/>
      <c r="P93" s="59"/>
      <c r="Q93" s="59"/>
      <c r="R93" s="68">
        <f ca="1">R91+SUM(M88:R88)</f>
        <v>315647.83695836226</v>
      </c>
    </row>
    <row r="94" spans="3:18" x14ac:dyDescent="0.2">
      <c r="C94" s="66" t="s">
        <v>108</v>
      </c>
      <c r="D94" s="59"/>
      <c r="E94" s="59"/>
      <c r="F94" s="59"/>
      <c r="G94" s="59"/>
      <c r="H94" s="88"/>
      <c r="I94" s="88"/>
      <c r="J94" s="88"/>
      <c r="K94" s="88"/>
      <c r="L94" s="88"/>
      <c r="M94" s="59"/>
      <c r="N94" s="59"/>
      <c r="O94" s="59"/>
      <c r="P94" s="59"/>
      <c r="Q94" s="59"/>
      <c r="R94" s="59">
        <f>BS!L10</f>
        <v>1047.802964</v>
      </c>
    </row>
    <row r="95" spans="3:18" x14ac:dyDescent="0.2">
      <c r="C95" s="66" t="s">
        <v>109</v>
      </c>
      <c r="D95" s="59"/>
      <c r="E95" s="59"/>
      <c r="F95" s="59"/>
      <c r="G95" s="59"/>
      <c r="H95" s="88"/>
      <c r="I95" s="88"/>
      <c r="J95" s="88"/>
      <c r="K95" s="88"/>
      <c r="L95" s="88"/>
      <c r="M95" s="59"/>
      <c r="N95" s="59"/>
      <c r="O95" s="59"/>
      <c r="P95" s="59"/>
      <c r="Q95" s="59"/>
      <c r="R95" s="59">
        <f>-D</f>
        <v>-49552.871610000002</v>
      </c>
    </row>
    <row r="96" spans="3:18" x14ac:dyDescent="0.2">
      <c r="C96" s="18" t="s">
        <v>110</v>
      </c>
      <c r="D96" s="59"/>
      <c r="E96" s="59"/>
      <c r="F96" s="59"/>
      <c r="G96" s="59"/>
      <c r="H96" s="88"/>
      <c r="I96" s="88"/>
      <c r="J96" s="88"/>
      <c r="K96" s="88"/>
      <c r="L96" s="88"/>
      <c r="M96" s="59"/>
      <c r="N96" s="59"/>
      <c r="O96" s="59"/>
      <c r="P96" s="59"/>
      <c r="Q96" s="59"/>
      <c r="R96" s="68">
        <f ca="1">SUM(R93:R95)</f>
        <v>267142.76831236226</v>
      </c>
    </row>
    <row r="97" spans="1:18" x14ac:dyDescent="0.2">
      <c r="C97" s="66" t="s">
        <v>111</v>
      </c>
      <c r="D97" s="59"/>
      <c r="E97" s="59"/>
      <c r="F97" s="59"/>
      <c r="G97" s="59"/>
      <c r="H97" s="88"/>
      <c r="I97" s="88"/>
      <c r="J97" s="88"/>
      <c r="K97" s="88"/>
      <c r="L97" s="88"/>
      <c r="M97" s="59"/>
      <c r="N97" s="59"/>
      <c r="O97" s="59"/>
      <c r="P97" s="59"/>
      <c r="Q97" s="59"/>
      <c r="R97" s="59">
        <f>IS!M48</f>
        <v>712.1</v>
      </c>
    </row>
    <row r="98" spans="1:18" x14ac:dyDescent="0.2">
      <c r="C98" s="18" t="s">
        <v>16</v>
      </c>
      <c r="D98" s="59"/>
      <c r="E98" s="59"/>
      <c r="F98" s="59"/>
      <c r="G98" s="59"/>
      <c r="H98" s="88"/>
      <c r="I98" s="88"/>
      <c r="J98" s="88"/>
      <c r="K98" s="88"/>
      <c r="L98" s="88"/>
      <c r="M98" s="59"/>
      <c r="N98" s="59"/>
      <c r="O98" s="59"/>
      <c r="P98" s="59"/>
      <c r="Q98" s="59"/>
      <c r="R98" s="121">
        <f ca="1">R96/R97</f>
        <v>375.14782799095946</v>
      </c>
    </row>
    <row r="99" spans="1:18" x14ac:dyDescent="0.2">
      <c r="C99" s="66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</row>
    <row r="100" spans="1:18" x14ac:dyDescent="0.2">
      <c r="A100" s="7" t="s">
        <v>7</v>
      </c>
      <c r="C100" s="4" t="s">
        <v>280</v>
      </c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</row>
    <row r="101" spans="1:18" x14ac:dyDescent="0.2">
      <c r="C101" s="66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</row>
    <row r="102" spans="1:18" ht="19" x14ac:dyDescent="0.35">
      <c r="C102" s="66" t="s">
        <v>284</v>
      </c>
      <c r="D102" s="88"/>
      <c r="E102" s="202"/>
      <c r="F102" s="204" t="s">
        <v>216</v>
      </c>
      <c r="G102" s="203"/>
      <c r="H102" s="203"/>
      <c r="I102" s="203"/>
      <c r="J102" s="203"/>
      <c r="K102" s="203"/>
      <c r="L102" s="203"/>
      <c r="M102" s="59"/>
      <c r="N102" s="18"/>
      <c r="O102" s="59"/>
      <c r="P102" s="59"/>
      <c r="Q102" s="59"/>
      <c r="R102" s="59"/>
    </row>
    <row r="103" spans="1:18" x14ac:dyDescent="0.2">
      <c r="C103" s="66"/>
      <c r="D103" s="202"/>
      <c r="E103" s="207">
        <f ca="1">R98</f>
        <v>375.14782799095946</v>
      </c>
      <c r="F103" s="205">
        <v>0.06</v>
      </c>
      <c r="G103" s="205">
        <f>F103+0.25%</f>
        <v>6.25E-2</v>
      </c>
      <c r="H103" s="205">
        <f t="shared" ref="H103:L103" si="52">G103+0.25%</f>
        <v>6.5000000000000002E-2</v>
      </c>
      <c r="I103" s="205">
        <f t="shared" si="52"/>
        <v>6.7500000000000004E-2</v>
      </c>
      <c r="J103" s="205">
        <f t="shared" si="52"/>
        <v>7.0000000000000007E-2</v>
      </c>
      <c r="K103" s="205">
        <f t="shared" si="52"/>
        <v>7.2500000000000009E-2</v>
      </c>
      <c r="L103" s="205">
        <f t="shared" si="52"/>
        <v>7.5000000000000011E-2</v>
      </c>
      <c r="M103" s="59"/>
      <c r="N103" s="18"/>
      <c r="O103" s="59"/>
      <c r="P103" s="59"/>
      <c r="Q103" s="59"/>
      <c r="R103" s="59"/>
    </row>
    <row r="104" spans="1:18" x14ac:dyDescent="0.2">
      <c r="D104" s="208" t="s">
        <v>234</v>
      </c>
      <c r="E104" s="206">
        <v>0.02</v>
      </c>
      <c r="F104" s="193">
        <f t="dataTable" ref="F104:L108" dt2D="1" dtr="1" r1="E17" r2="E18" ca="1"/>
        <v>298.3468586763849</v>
      </c>
      <c r="G104" s="193">
        <v>277.48102728001493</v>
      </c>
      <c r="H104" s="193">
        <v>258.93452334044213</v>
      </c>
      <c r="I104" s="193">
        <v>242.34112201590878</v>
      </c>
      <c r="J104" s="193">
        <v>227.40784366292328</v>
      </c>
      <c r="K104" s="193">
        <v>213.89751449949128</v>
      </c>
      <c r="L104" s="193">
        <v>201.61608345117088</v>
      </c>
      <c r="M104" s="59"/>
      <c r="N104" s="18"/>
      <c r="O104" s="59"/>
      <c r="P104" s="59"/>
      <c r="Q104" s="59"/>
      <c r="R104" s="59"/>
    </row>
    <row r="105" spans="1:18" x14ac:dyDescent="0.2">
      <c r="C105" s="66"/>
      <c r="D105" s="202"/>
      <c r="E105" s="206">
        <f>E104+0.25%</f>
        <v>2.2499999999999999E-2</v>
      </c>
      <c r="F105" s="193">
        <v>318.82711716027131</v>
      </c>
      <c r="G105" s="193">
        <v>295.39291036479602</v>
      </c>
      <c r="H105" s="193">
        <v>274.71649337480289</v>
      </c>
      <c r="I105" s="193">
        <v>256.33821991446825</v>
      </c>
      <c r="J105" s="193">
        <v>239.8952115672277</v>
      </c>
      <c r="K105" s="193">
        <v>225.09716580723841</v>
      </c>
      <c r="L105" s="193">
        <v>211.70907602191843</v>
      </c>
      <c r="M105" s="59"/>
      <c r="N105" s="18"/>
      <c r="O105" s="59"/>
      <c r="P105" s="59"/>
      <c r="Q105" s="59"/>
      <c r="R105" s="59"/>
    </row>
    <row r="106" spans="1:18" x14ac:dyDescent="0.2">
      <c r="C106" s="66"/>
      <c r="D106" s="202"/>
      <c r="E106" s="206">
        <f t="shared" ref="E106:E108" si="53">E105+0.25%</f>
        <v>2.4999999999999998E-2</v>
      </c>
      <c r="F106" s="193">
        <v>342.23312685614167</v>
      </c>
      <c r="G106" s="193">
        <v>315.6930445275479</v>
      </c>
      <c r="H106" s="193">
        <v>292.47120966345886</v>
      </c>
      <c r="I106" s="193">
        <v>271.98203521285831</v>
      </c>
      <c r="J106" s="193">
        <v>253.77006479423272</v>
      </c>
      <c r="K106" s="193">
        <v>237.47572777895894</v>
      </c>
      <c r="L106" s="193">
        <v>222.81136784974066</v>
      </c>
      <c r="M106" s="59"/>
      <c r="N106" s="59"/>
      <c r="O106" s="59"/>
      <c r="P106" s="59"/>
      <c r="Q106" s="59"/>
      <c r="R106" s="59"/>
    </row>
    <row r="107" spans="1:18" x14ac:dyDescent="0.2">
      <c r="C107" s="66"/>
      <c r="D107" s="202"/>
      <c r="E107" s="206">
        <f t="shared" si="53"/>
        <v>2.7499999999999997E-2</v>
      </c>
      <c r="F107" s="193">
        <v>369.24006112060766</v>
      </c>
      <c r="G107" s="193">
        <v>338.89319785640743</v>
      </c>
      <c r="H107" s="193">
        <v>312.5932214572689</v>
      </c>
      <c r="I107" s="193">
        <v>289.58132742354724</v>
      </c>
      <c r="J107" s="193">
        <v>269.27725369500303</v>
      </c>
      <c r="K107" s="193">
        <v>251.22968552531515</v>
      </c>
      <c r="L107" s="193">
        <v>235.08232197522855</v>
      </c>
      <c r="M107" s="59"/>
      <c r="N107" s="59"/>
      <c r="O107" s="59"/>
      <c r="P107" s="59"/>
      <c r="Q107" s="59"/>
      <c r="R107" s="59"/>
    </row>
    <row r="108" spans="1:18" x14ac:dyDescent="0.2">
      <c r="C108" s="66"/>
      <c r="D108" s="202"/>
      <c r="E108" s="206">
        <f t="shared" si="53"/>
        <v>2.9999999999999995E-2</v>
      </c>
      <c r="F108" s="193">
        <v>400.74815109581772</v>
      </c>
      <c r="G108" s="193">
        <v>365.66260554355284</v>
      </c>
      <c r="H108" s="193">
        <v>335.58980636448041</v>
      </c>
      <c r="I108" s="193">
        <v>309.52719192899451</v>
      </c>
      <c r="J108" s="193">
        <v>286.72284120836963</v>
      </c>
      <c r="K108" s="193">
        <v>266.60175594771317</v>
      </c>
      <c r="L108" s="193">
        <v>248.71671544799281</v>
      </c>
      <c r="M108" s="59"/>
      <c r="N108" s="59"/>
      <c r="O108" s="59"/>
      <c r="P108" s="59"/>
      <c r="Q108" s="59"/>
      <c r="R108" s="59"/>
    </row>
    <row r="109" spans="1:18" x14ac:dyDescent="0.2">
      <c r="C109" s="66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</row>
    <row r="110" spans="1:18" hidden="1" outlineLevel="1" x14ac:dyDescent="0.2">
      <c r="C110" s="66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</row>
    <row r="111" spans="1:18" ht="19" hidden="1" outlineLevel="1" x14ac:dyDescent="0.35">
      <c r="C111" s="66" t="s">
        <v>281</v>
      </c>
      <c r="D111" s="88"/>
      <c r="E111" s="202"/>
      <c r="F111" s="204" t="s">
        <v>216</v>
      </c>
      <c r="G111" s="203"/>
      <c r="H111" s="203"/>
      <c r="I111" s="203"/>
      <c r="J111" s="203"/>
      <c r="K111" s="203"/>
      <c r="L111" s="203"/>
      <c r="M111" s="59"/>
      <c r="N111" s="59"/>
      <c r="O111" s="59"/>
      <c r="P111" s="59"/>
      <c r="Q111" s="59"/>
      <c r="R111" s="59"/>
    </row>
    <row r="112" spans="1:18" hidden="1" outlineLevel="1" x14ac:dyDescent="0.2">
      <c r="C112" s="66"/>
      <c r="D112" s="202"/>
      <c r="E112" s="207">
        <v>270.50981248177823</v>
      </c>
      <c r="F112" s="205">
        <v>0.06</v>
      </c>
      <c r="G112" s="205">
        <v>6.25E-2</v>
      </c>
      <c r="H112" s="205">
        <v>6.5000000000000002E-2</v>
      </c>
      <c r="I112" s="205">
        <v>6.7500000000000004E-2</v>
      </c>
      <c r="J112" s="205">
        <v>7.0000000000000007E-2</v>
      </c>
      <c r="K112" s="205">
        <v>7.2500000000000009E-2</v>
      </c>
      <c r="L112" s="205">
        <v>7.5000000000000011E-2</v>
      </c>
      <c r="M112" s="59"/>
      <c r="N112" s="59"/>
      <c r="O112" s="59"/>
      <c r="P112" s="59"/>
      <c r="Q112" s="59"/>
      <c r="R112" s="59"/>
    </row>
    <row r="113" spans="3:18" hidden="1" outlineLevel="1" x14ac:dyDescent="0.2">
      <c r="C113" s="66"/>
      <c r="D113" s="208" t="s">
        <v>234</v>
      </c>
      <c r="E113" s="206">
        <v>0.02</v>
      </c>
      <c r="F113" s="193">
        <v>245.59545319108281</v>
      </c>
      <c r="G113" s="193">
        <v>228.00045598074703</v>
      </c>
      <c r="H113" s="193">
        <v>212.35985789276677</v>
      </c>
      <c r="I113" s="193">
        <v>198.36507125744339</v>
      </c>
      <c r="J113" s="193">
        <v>185.7692259352439</v>
      </c>
      <c r="K113" s="193">
        <v>174.3724746667161</v>
      </c>
      <c r="L113" s="193">
        <v>164.01130605424439</v>
      </c>
      <c r="M113" s="59"/>
      <c r="N113" s="59"/>
      <c r="O113" s="59"/>
      <c r="P113" s="59"/>
      <c r="Q113" s="59"/>
      <c r="R113" s="59"/>
    </row>
    <row r="114" spans="3:18" hidden="1" outlineLevel="1" x14ac:dyDescent="0.2">
      <c r="C114" s="66"/>
      <c r="D114" s="202"/>
      <c r="E114" s="206">
        <v>2.2499999999999999E-2</v>
      </c>
      <c r="F114" s="193">
        <v>262.85242983177852</v>
      </c>
      <c r="G114" s="193">
        <v>243.09328052825646</v>
      </c>
      <c r="H114" s="193">
        <v>225.6579853769195</v>
      </c>
      <c r="I114" s="193">
        <v>210.15923838980731</v>
      </c>
      <c r="J114" s="193">
        <v>196.29127166029673</v>
      </c>
      <c r="K114" s="193">
        <v>183.80947084299936</v>
      </c>
      <c r="L114" s="193">
        <v>172.51581478225398</v>
      </c>
      <c r="M114" s="59"/>
      <c r="N114" s="59"/>
      <c r="O114" s="59"/>
      <c r="P114" s="59"/>
      <c r="Q114" s="59"/>
      <c r="R114" s="59"/>
    </row>
    <row r="115" spans="3:18" hidden="1" outlineLevel="1" x14ac:dyDescent="0.2">
      <c r="C115" s="66"/>
      <c r="D115" s="202"/>
      <c r="E115" s="206">
        <v>2.4999999999999998E-2</v>
      </c>
      <c r="F115" s="193">
        <v>282.57468884971655</v>
      </c>
      <c r="G115" s="193">
        <v>260.19848168210046</v>
      </c>
      <c r="H115" s="193">
        <v>240.61837879659137</v>
      </c>
      <c r="I115" s="193">
        <v>223.34095459656709</v>
      </c>
      <c r="J115" s="193">
        <v>207.98243357702214</v>
      </c>
      <c r="K115" s="193">
        <v>194.23983503783879</v>
      </c>
      <c r="L115" s="193">
        <v>181.87077438306454</v>
      </c>
      <c r="M115" s="59"/>
      <c r="N115" s="59"/>
      <c r="O115" s="59"/>
      <c r="P115" s="59"/>
      <c r="Q115" s="59"/>
      <c r="R115" s="59"/>
    </row>
    <row r="116" spans="3:18" hidden="1" outlineLevel="1" x14ac:dyDescent="0.2">
      <c r="C116" s="66"/>
      <c r="D116" s="202"/>
      <c r="E116" s="206">
        <v>2.7499999999999997E-2</v>
      </c>
      <c r="F116" s="193">
        <v>305.33114156272205</v>
      </c>
      <c r="G116" s="193">
        <v>279.74728300077953</v>
      </c>
      <c r="H116" s="193">
        <v>257.57349133888624</v>
      </c>
      <c r="I116" s="193">
        <v>238.17038532917189</v>
      </c>
      <c r="J116" s="193">
        <v>221.04902630748003</v>
      </c>
      <c r="K116" s="193">
        <v>205.82912858766039</v>
      </c>
      <c r="L116" s="193">
        <v>192.21046657343422</v>
      </c>
      <c r="M116" s="59"/>
      <c r="N116" s="59"/>
      <c r="O116" s="59"/>
      <c r="P116" s="59"/>
      <c r="Q116" s="59"/>
      <c r="R116" s="59"/>
    </row>
    <row r="117" spans="3:18" hidden="1" outlineLevel="1" x14ac:dyDescent="0.2">
      <c r="C117" s="66"/>
      <c r="D117" s="202"/>
      <c r="E117" s="206">
        <v>2.9999999999999995E-2</v>
      </c>
      <c r="F117" s="193">
        <v>331.88033639456177</v>
      </c>
      <c r="G117" s="193">
        <v>302.30359221463988</v>
      </c>
      <c r="H117" s="193">
        <v>276.95076281579463</v>
      </c>
      <c r="I117" s="193">
        <v>254.97707349279062</v>
      </c>
      <c r="J117" s="193">
        <v>235.74894312924513</v>
      </c>
      <c r="K117" s="193">
        <v>218.78186843746101</v>
      </c>
      <c r="L117" s="193">
        <v>203.69901345162268</v>
      </c>
      <c r="M117" s="59"/>
      <c r="N117" s="59"/>
      <c r="O117" s="59"/>
      <c r="P117" s="59"/>
      <c r="Q117" s="59"/>
      <c r="R117" s="59"/>
    </row>
    <row r="118" spans="3:18" hidden="1" outlineLevel="1" x14ac:dyDescent="0.2">
      <c r="C118" s="66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</row>
    <row r="119" spans="3:18" hidden="1" outlineLevel="1" x14ac:dyDescent="0.2">
      <c r="C119" s="66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</row>
    <row r="120" spans="3:18" ht="19" hidden="1" outlineLevel="1" x14ac:dyDescent="0.35">
      <c r="C120" s="66" t="s">
        <v>282</v>
      </c>
      <c r="D120" s="88"/>
      <c r="E120" s="202"/>
      <c r="F120" s="204" t="s">
        <v>216</v>
      </c>
      <c r="G120" s="203"/>
      <c r="H120" s="203"/>
      <c r="I120" s="203"/>
      <c r="J120" s="203"/>
      <c r="K120" s="203"/>
      <c r="L120" s="203"/>
      <c r="M120" s="59"/>
      <c r="N120" s="59"/>
      <c r="O120" s="59"/>
      <c r="P120" s="59"/>
      <c r="Q120" s="59"/>
      <c r="R120" s="59"/>
    </row>
    <row r="121" spans="3:18" hidden="1" outlineLevel="1" x14ac:dyDescent="0.2">
      <c r="C121" s="66"/>
      <c r="D121" s="202"/>
      <c r="E121" s="207">
        <v>176.75668185275651</v>
      </c>
      <c r="F121" s="205">
        <v>0.06</v>
      </c>
      <c r="G121" s="205">
        <v>6.25E-2</v>
      </c>
      <c r="H121" s="205">
        <v>6.5000000000000002E-2</v>
      </c>
      <c r="I121" s="205">
        <v>6.7500000000000004E-2</v>
      </c>
      <c r="J121" s="205">
        <v>7.0000000000000007E-2</v>
      </c>
      <c r="K121" s="205">
        <v>7.2500000000000009E-2</v>
      </c>
      <c r="L121" s="205">
        <v>7.5000000000000011E-2</v>
      </c>
      <c r="M121" s="59"/>
      <c r="N121" s="59"/>
      <c r="O121" s="59"/>
      <c r="P121" s="59"/>
      <c r="Q121" s="59"/>
      <c r="R121" s="59"/>
    </row>
    <row r="122" spans="3:18" hidden="1" outlineLevel="1" x14ac:dyDescent="0.2">
      <c r="C122" s="66"/>
      <c r="D122" s="208" t="s">
        <v>234</v>
      </c>
      <c r="E122" s="206">
        <v>0.02</v>
      </c>
      <c r="F122" s="193">
        <v>178.30691883418481</v>
      </c>
      <c r="G122" s="193">
        <v>164.79069412439932</v>
      </c>
      <c r="H122" s="193">
        <v>152.77417515774383</v>
      </c>
      <c r="I122" s="193">
        <v>142.02058503862156</v>
      </c>
      <c r="J122" s="193">
        <v>132.34050201241644</v>
      </c>
      <c r="K122" s="193">
        <v>123.58058443564437</v>
      </c>
      <c r="L122" s="193">
        <v>115.61537075417488</v>
      </c>
      <c r="M122" s="59"/>
      <c r="N122" s="59"/>
      <c r="O122" s="59"/>
      <c r="P122" s="59"/>
      <c r="Q122" s="59"/>
      <c r="R122" s="59"/>
    </row>
    <row r="123" spans="3:18" hidden="1" outlineLevel="1" x14ac:dyDescent="0.2">
      <c r="C123" s="66"/>
      <c r="D123" s="202"/>
      <c r="E123" s="206">
        <v>2.2499999999999999E-2</v>
      </c>
      <c r="F123" s="193">
        <v>191.54799098898692</v>
      </c>
      <c r="G123" s="193">
        <v>176.3712382147275</v>
      </c>
      <c r="H123" s="193">
        <v>162.97766961726495</v>
      </c>
      <c r="I123" s="193">
        <v>151.07010867517502</v>
      </c>
      <c r="J123" s="193">
        <v>140.41394208030167</v>
      </c>
      <c r="K123" s="193">
        <v>130.8214789385716</v>
      </c>
      <c r="L123" s="193">
        <v>122.14077877049931</v>
      </c>
      <c r="M123" s="59"/>
      <c r="N123" s="59"/>
      <c r="O123" s="59"/>
      <c r="P123" s="59"/>
      <c r="Q123" s="59"/>
      <c r="R123" s="59"/>
    </row>
    <row r="124" spans="3:18" hidden="1" outlineLevel="1" x14ac:dyDescent="0.2">
      <c r="C124" s="66"/>
      <c r="D124" s="202"/>
      <c r="E124" s="206">
        <v>2.4999999999999998E-2</v>
      </c>
      <c r="F124" s="193">
        <v>206.68064488018948</v>
      </c>
      <c r="G124" s="193">
        <v>189.49585485043286</v>
      </c>
      <c r="H124" s="193">
        <v>174.45660088422622</v>
      </c>
      <c r="I124" s="193">
        <v>161.18428215132303</v>
      </c>
      <c r="J124" s="193">
        <v>149.38443104461857</v>
      </c>
      <c r="K124" s="193">
        <v>138.82457286285967</v>
      </c>
      <c r="L124" s="193">
        <v>129.31872758845623</v>
      </c>
      <c r="M124" s="59"/>
      <c r="N124" s="59"/>
      <c r="O124" s="59"/>
      <c r="P124" s="59"/>
      <c r="Q124" s="59"/>
      <c r="R124" s="59"/>
    </row>
    <row r="125" spans="3:18" hidden="1" outlineLevel="1" x14ac:dyDescent="0.2">
      <c r="C125" s="66"/>
      <c r="D125" s="202"/>
      <c r="E125" s="206">
        <v>2.7499999999999997E-2</v>
      </c>
      <c r="F125" s="193">
        <v>224.14139937003856</v>
      </c>
      <c r="G125" s="193">
        <v>204.49541671981046</v>
      </c>
      <c r="H125" s="193">
        <v>187.46605632011574</v>
      </c>
      <c r="I125" s="193">
        <v>172.56272731198962</v>
      </c>
      <c r="J125" s="193">
        <v>159.41027165179642</v>
      </c>
      <c r="K125" s="193">
        <v>147.71689944540202</v>
      </c>
      <c r="L125" s="193">
        <v>137.25224996619812</v>
      </c>
      <c r="M125" s="59"/>
      <c r="N125" s="59"/>
      <c r="O125" s="59"/>
      <c r="P125" s="59"/>
      <c r="Q125" s="59"/>
      <c r="R125" s="59"/>
    </row>
    <row r="126" spans="3:18" hidden="1" outlineLevel="1" x14ac:dyDescent="0.2">
      <c r="C126" s="66"/>
      <c r="D126" s="202"/>
      <c r="E126" s="206">
        <v>2.9999999999999995E-2</v>
      </c>
      <c r="F126" s="193">
        <v>244.51227960819574</v>
      </c>
      <c r="G126" s="193">
        <v>221.80260349216923</v>
      </c>
      <c r="H126" s="193">
        <v>202.33400538970369</v>
      </c>
      <c r="I126" s="193">
        <v>185.45829849407838</v>
      </c>
      <c r="J126" s="193">
        <v>170.68934233487138</v>
      </c>
      <c r="K126" s="193">
        <v>157.65538209647875</v>
      </c>
      <c r="L126" s="193">
        <v>146.06727483035573</v>
      </c>
      <c r="M126" s="59"/>
      <c r="N126" s="59"/>
      <c r="O126" s="59"/>
      <c r="P126" s="59"/>
      <c r="Q126" s="59"/>
      <c r="R126" s="59"/>
    </row>
    <row r="127" spans="3:18" hidden="1" outlineLevel="1" x14ac:dyDescent="0.2">
      <c r="C127" s="66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</row>
    <row r="128" spans="3:18" hidden="1" outlineLevel="1" x14ac:dyDescent="0.2">
      <c r="C128" s="66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</row>
    <row r="129" spans="1:18" ht="19" hidden="1" outlineLevel="1" x14ac:dyDescent="0.35">
      <c r="C129" s="66" t="s">
        <v>283</v>
      </c>
      <c r="D129" s="88"/>
      <c r="E129" s="202"/>
      <c r="F129" s="204" t="s">
        <v>216</v>
      </c>
      <c r="G129" s="203"/>
      <c r="H129" s="203"/>
      <c r="I129" s="203"/>
      <c r="J129" s="203"/>
      <c r="K129" s="203"/>
      <c r="L129" s="203"/>
      <c r="M129" s="59"/>
      <c r="N129" s="59"/>
      <c r="O129" s="59"/>
      <c r="P129" s="59"/>
      <c r="Q129" s="59"/>
      <c r="R129" s="59"/>
    </row>
    <row r="130" spans="1:18" hidden="1" outlineLevel="1" x14ac:dyDescent="0.2">
      <c r="C130" s="66"/>
      <c r="D130" s="202"/>
      <c r="E130" s="207">
        <v>375.14782799095946</v>
      </c>
      <c r="F130" s="205">
        <v>0.06</v>
      </c>
      <c r="G130" s="205">
        <v>6.25E-2</v>
      </c>
      <c r="H130" s="205">
        <v>6.5000000000000002E-2</v>
      </c>
      <c r="I130" s="205">
        <v>6.7500000000000004E-2</v>
      </c>
      <c r="J130" s="205">
        <v>7.0000000000000007E-2</v>
      </c>
      <c r="K130" s="205">
        <v>7.2500000000000009E-2</v>
      </c>
      <c r="L130" s="205">
        <v>7.5000000000000011E-2</v>
      </c>
      <c r="M130" s="59"/>
      <c r="N130" s="59"/>
      <c r="O130" s="59"/>
      <c r="P130" s="59"/>
      <c r="Q130" s="59"/>
      <c r="R130" s="59"/>
    </row>
    <row r="131" spans="1:18" hidden="1" outlineLevel="1" x14ac:dyDescent="0.2">
      <c r="C131" s="66"/>
      <c r="D131" s="208" t="s">
        <v>234</v>
      </c>
      <c r="E131" s="206">
        <v>0.02</v>
      </c>
      <c r="F131" s="193">
        <v>298.3468586763849</v>
      </c>
      <c r="G131" s="193">
        <v>277.48102728001493</v>
      </c>
      <c r="H131" s="193">
        <v>258.93452334044213</v>
      </c>
      <c r="I131" s="193">
        <v>242.34112201590878</v>
      </c>
      <c r="J131" s="193">
        <v>227.40784366292328</v>
      </c>
      <c r="K131" s="193">
        <v>213.89751449949128</v>
      </c>
      <c r="L131" s="193">
        <v>201.61608345117088</v>
      </c>
      <c r="M131" s="59"/>
      <c r="N131" s="59"/>
      <c r="O131" s="59"/>
      <c r="P131" s="59"/>
      <c r="Q131" s="59"/>
      <c r="R131" s="59"/>
    </row>
    <row r="132" spans="1:18" hidden="1" outlineLevel="1" x14ac:dyDescent="0.2">
      <c r="C132" s="66"/>
      <c r="D132" s="202"/>
      <c r="E132" s="206">
        <v>2.2499999999999999E-2</v>
      </c>
      <c r="F132" s="193">
        <v>318.82711716027131</v>
      </c>
      <c r="G132" s="193">
        <v>295.39291036479602</v>
      </c>
      <c r="H132" s="193">
        <v>274.71649337480289</v>
      </c>
      <c r="I132" s="193">
        <v>256.33821991446825</v>
      </c>
      <c r="J132" s="193">
        <v>239.8952115672277</v>
      </c>
      <c r="K132" s="193">
        <v>225.09716580723841</v>
      </c>
      <c r="L132" s="193">
        <v>211.70907602191843</v>
      </c>
      <c r="M132" s="59"/>
      <c r="N132" s="59"/>
      <c r="O132" s="59"/>
      <c r="P132" s="59"/>
      <c r="Q132" s="59"/>
      <c r="R132" s="59"/>
    </row>
    <row r="133" spans="1:18" hidden="1" outlineLevel="1" x14ac:dyDescent="0.2">
      <c r="C133" s="66"/>
      <c r="D133" s="202"/>
      <c r="E133" s="206">
        <v>2.4999999999999998E-2</v>
      </c>
      <c r="F133" s="193">
        <v>342.23312685614167</v>
      </c>
      <c r="G133" s="193">
        <v>315.6930445275479</v>
      </c>
      <c r="H133" s="193">
        <v>292.47120966345886</v>
      </c>
      <c r="I133" s="193">
        <v>271.98203521285831</v>
      </c>
      <c r="J133" s="193">
        <v>253.77006479423272</v>
      </c>
      <c r="K133" s="193">
        <v>237.47572777895894</v>
      </c>
      <c r="L133" s="193">
        <v>222.81136784974066</v>
      </c>
      <c r="M133" s="59"/>
      <c r="N133" s="59"/>
      <c r="O133" s="59"/>
      <c r="P133" s="59"/>
      <c r="Q133" s="59"/>
      <c r="R133" s="59"/>
    </row>
    <row r="134" spans="1:18" hidden="1" outlineLevel="1" x14ac:dyDescent="0.2">
      <c r="C134" s="66"/>
      <c r="D134" s="202"/>
      <c r="E134" s="206">
        <v>2.7499999999999997E-2</v>
      </c>
      <c r="F134" s="193">
        <v>369.24006112060766</v>
      </c>
      <c r="G134" s="193">
        <v>338.89319785640743</v>
      </c>
      <c r="H134" s="193">
        <v>312.5932214572689</v>
      </c>
      <c r="I134" s="193">
        <v>289.58132742354724</v>
      </c>
      <c r="J134" s="193">
        <v>269.27725369500303</v>
      </c>
      <c r="K134" s="193">
        <v>251.22968552531515</v>
      </c>
      <c r="L134" s="193">
        <v>235.08232197522855</v>
      </c>
      <c r="M134" s="59"/>
      <c r="N134" s="59"/>
      <c r="O134" s="59"/>
      <c r="P134" s="59"/>
      <c r="Q134" s="59"/>
      <c r="R134" s="59"/>
    </row>
    <row r="135" spans="1:18" hidden="1" outlineLevel="1" x14ac:dyDescent="0.2">
      <c r="C135" s="66"/>
      <c r="D135" s="202"/>
      <c r="E135" s="206">
        <v>2.9999999999999995E-2</v>
      </c>
      <c r="F135" s="193">
        <v>400.74815109581772</v>
      </c>
      <c r="G135" s="193">
        <v>365.66260554355284</v>
      </c>
      <c r="H135" s="193">
        <v>335.58980636448041</v>
      </c>
      <c r="I135" s="193">
        <v>309.52719192899451</v>
      </c>
      <c r="J135" s="193">
        <v>286.72284120836963</v>
      </c>
      <c r="K135" s="193">
        <v>266.60175594771317</v>
      </c>
      <c r="L135" s="193">
        <v>248.71671544799281</v>
      </c>
      <c r="M135" s="59"/>
      <c r="N135" s="59"/>
      <c r="O135" s="59"/>
      <c r="P135" s="59"/>
      <c r="Q135" s="59"/>
      <c r="R135" s="59"/>
    </row>
    <row r="136" spans="1:18" hidden="1" outlineLevel="1" x14ac:dyDescent="0.2">
      <c r="C136" s="66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</row>
    <row r="137" spans="1:18" collapsed="1" x14ac:dyDescent="0.2">
      <c r="C137" s="66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</row>
    <row r="138" spans="1:18" x14ac:dyDescent="0.2">
      <c r="A138" s="7" t="s">
        <v>7</v>
      </c>
      <c r="C138" s="4" t="s">
        <v>205</v>
      </c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</row>
    <row r="139" spans="1:18" x14ac:dyDescent="0.2">
      <c r="C139" s="66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</row>
    <row r="140" spans="1:18" x14ac:dyDescent="0.2">
      <c r="C140" s="66" t="s">
        <v>206</v>
      </c>
      <c r="D140" s="59"/>
      <c r="E140" s="59"/>
      <c r="F140" s="59"/>
      <c r="G140" s="59"/>
      <c r="H140" s="59">
        <f>BS!H12</f>
        <v>1724.735406</v>
      </c>
      <c r="I140" s="59">
        <f>BS!I12</f>
        <v>1646.500198</v>
      </c>
      <c r="J140" s="59">
        <f>BS!J12</f>
        <v>1981.7287289999999</v>
      </c>
      <c r="K140" s="59">
        <f>BS!K12</f>
        <v>2252.2971779999998</v>
      </c>
      <c r="L140" s="59">
        <f>BS!L12</f>
        <v>2301.3036529999999</v>
      </c>
      <c r="M140" s="59">
        <f t="shared" ref="M140:R140" ca="1" si="54">M27*M141</f>
        <v>2327.5782810656456</v>
      </c>
      <c r="N140" s="59">
        <f t="shared" ca="1" si="54"/>
        <v>2417.7719394569394</v>
      </c>
      <c r="O140" s="59">
        <f t="shared" ca="1" si="54"/>
        <v>2511.4606021108962</v>
      </c>
      <c r="P140" s="59">
        <f t="shared" ca="1" si="54"/>
        <v>2608.7797004426934</v>
      </c>
      <c r="Q140" s="59">
        <f t="shared" ca="1" si="54"/>
        <v>2709.8699138348479</v>
      </c>
      <c r="R140" s="59">
        <f t="shared" ca="1" si="54"/>
        <v>2814.8773729959485</v>
      </c>
    </row>
    <row r="141" spans="1:18" x14ac:dyDescent="0.2">
      <c r="C141" s="58" t="s">
        <v>89</v>
      </c>
      <c r="D141" s="59"/>
      <c r="E141" s="59"/>
      <c r="F141" s="59"/>
      <c r="G141" s="59"/>
      <c r="H141" s="67">
        <f>H140/H$27</f>
        <v>0.10236425936257344</v>
      </c>
      <c r="I141" s="67">
        <f t="shared" ref="I141:L141" si="55">I140/I$27</f>
        <v>8.3804153204051504E-2</v>
      </c>
      <c r="J141" s="67">
        <f t="shared" si="55"/>
        <v>8.9841723138997187E-2</v>
      </c>
      <c r="K141" s="67">
        <f t="shared" si="55"/>
        <v>9.551321733599083E-2</v>
      </c>
      <c r="L141" s="67">
        <f t="shared" si="55"/>
        <v>9.6039715090560057E-2</v>
      </c>
      <c r="M141" s="72">
        <f>AVERAGE(H141:L141)</f>
        <v>9.3512613626434621E-2</v>
      </c>
      <c r="N141" s="72">
        <f>M141</f>
        <v>9.3512613626434621E-2</v>
      </c>
      <c r="O141" s="72">
        <f t="shared" ref="O141:R143" si="56">N141</f>
        <v>9.3512613626434621E-2</v>
      </c>
      <c r="P141" s="72">
        <f t="shared" si="56"/>
        <v>9.3512613626434621E-2</v>
      </c>
      <c r="Q141" s="72">
        <f t="shared" si="56"/>
        <v>9.3512613626434621E-2</v>
      </c>
      <c r="R141" s="72">
        <f t="shared" si="56"/>
        <v>9.3512613626434621E-2</v>
      </c>
    </row>
    <row r="142" spans="1:18" x14ac:dyDescent="0.2">
      <c r="C142" s="66" t="s">
        <v>207</v>
      </c>
      <c r="D142" s="59"/>
      <c r="E142" s="59"/>
      <c r="F142" s="59"/>
      <c r="G142" s="59"/>
      <c r="H142" s="59">
        <f>BS!H15</f>
        <v>41.763719999999999</v>
      </c>
      <c r="I142" s="59">
        <f>BS!I15</f>
        <v>48.892015999999998</v>
      </c>
      <c r="J142" s="59">
        <f>BS!J15</f>
        <v>48.723354</v>
      </c>
      <c r="K142" s="59">
        <f>BS!K15</f>
        <v>47.797947000000001</v>
      </c>
      <c r="L142" s="59">
        <f>BS!L15</f>
        <v>54.080153000000003</v>
      </c>
      <c r="M142" s="59">
        <f t="shared" ref="M142:R142" ca="1" si="57">M27*M143</f>
        <v>57.049017720530102</v>
      </c>
      <c r="N142" s="59">
        <f t="shared" ca="1" si="57"/>
        <v>59.259667157200639</v>
      </c>
      <c r="O142" s="59">
        <f t="shared" ca="1" si="57"/>
        <v>61.555979259542177</v>
      </c>
      <c r="P142" s="59">
        <f t="shared" ca="1" si="57"/>
        <v>63.941273455849434</v>
      </c>
      <c r="Q142" s="59">
        <f t="shared" ca="1" si="57"/>
        <v>66.418997802263604</v>
      </c>
      <c r="R142" s="59">
        <f t="shared" ca="1" si="57"/>
        <v>68.992733967101316</v>
      </c>
    </row>
    <row r="143" spans="1:18" x14ac:dyDescent="0.2">
      <c r="C143" s="58" t="s">
        <v>89</v>
      </c>
      <c r="D143" s="59"/>
      <c r="E143" s="59"/>
      <c r="F143" s="59"/>
      <c r="G143" s="59"/>
      <c r="H143" s="109">
        <f>H142/H$27</f>
        <v>2.4787061546679328E-3</v>
      </c>
      <c r="I143" s="109">
        <f t="shared" ref="I143" si="58">I142/I$27</f>
        <v>2.4885232350995061E-3</v>
      </c>
      <c r="J143" s="109">
        <f t="shared" ref="J143" si="59">J142/J$27</f>
        <v>2.2088745126484723E-3</v>
      </c>
      <c r="K143" s="109">
        <f t="shared" ref="K143" si="60">K142/K$27</f>
        <v>2.0269686188032739E-3</v>
      </c>
      <c r="L143" s="109">
        <f t="shared" ref="L143" si="61">L142/L$27</f>
        <v>2.2569131541607546E-3</v>
      </c>
      <c r="M143" s="73">
        <f>AVERAGE(H143:L143)</f>
        <v>2.2919971350759882E-3</v>
      </c>
      <c r="N143" s="73">
        <f>M143</f>
        <v>2.2919971350759882E-3</v>
      </c>
      <c r="O143" s="73">
        <f t="shared" si="56"/>
        <v>2.2919971350759882E-3</v>
      </c>
      <c r="P143" s="73">
        <f t="shared" si="56"/>
        <v>2.2919971350759882E-3</v>
      </c>
      <c r="Q143" s="73">
        <f t="shared" si="56"/>
        <v>2.2919971350759882E-3</v>
      </c>
      <c r="R143" s="73">
        <f t="shared" si="56"/>
        <v>2.2919971350759882E-3</v>
      </c>
    </row>
    <row r="144" spans="1:18" x14ac:dyDescent="0.2">
      <c r="C144" s="18" t="s">
        <v>208</v>
      </c>
      <c r="D144" s="59"/>
      <c r="E144" s="59"/>
      <c r="F144" s="59"/>
      <c r="G144" s="59"/>
      <c r="H144" s="68">
        <f>H142+H140</f>
        <v>1766.4991259999999</v>
      </c>
      <c r="I144" s="68">
        <f t="shared" ref="I144:R144" si="62">I142+I140</f>
        <v>1695.392214</v>
      </c>
      <c r="J144" s="68">
        <f t="shared" si="62"/>
        <v>2030.4520829999999</v>
      </c>
      <c r="K144" s="68">
        <f t="shared" si="62"/>
        <v>2300.0951249999998</v>
      </c>
      <c r="L144" s="68">
        <f t="shared" si="62"/>
        <v>2355.3838059999998</v>
      </c>
      <c r="M144" s="68">
        <f ca="1">M142+M140</f>
        <v>2384.6272987861757</v>
      </c>
      <c r="N144" s="68">
        <f ca="1">N142+N140</f>
        <v>2477.0316066141399</v>
      </c>
      <c r="O144" s="68">
        <f t="shared" ca="1" si="62"/>
        <v>2573.0165813704384</v>
      </c>
      <c r="P144" s="68">
        <f t="shared" ca="1" si="62"/>
        <v>2672.720973898543</v>
      </c>
      <c r="Q144" s="68">
        <f t="shared" ca="1" si="62"/>
        <v>2776.2889116371116</v>
      </c>
      <c r="R144" s="68">
        <f t="shared" ca="1" si="62"/>
        <v>2883.8701069630497</v>
      </c>
    </row>
    <row r="145" spans="1:18" x14ac:dyDescent="0.2">
      <c r="C145" s="66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</row>
    <row r="146" spans="1:18" x14ac:dyDescent="0.2">
      <c r="C146" s="66" t="s">
        <v>209</v>
      </c>
      <c r="D146" s="59"/>
      <c r="E146" s="59"/>
      <c r="F146" s="59"/>
      <c r="G146" s="59"/>
      <c r="H146" s="59">
        <f>BS!H41</f>
        <v>605.85999900000002</v>
      </c>
      <c r="I146" s="59">
        <f>BS!I41</f>
        <v>885.33240699999999</v>
      </c>
      <c r="J146" s="59">
        <f>BS!J41</f>
        <v>918.43522499999995</v>
      </c>
      <c r="K146" s="59">
        <f>BS!K41</f>
        <v>998.41581900000006</v>
      </c>
      <c r="L146" s="59">
        <f>BS!L41</f>
        <v>993.72281099999998</v>
      </c>
      <c r="M146" s="59">
        <f t="shared" ref="M146:R146" ca="1" si="63">M33*M147*-1</f>
        <v>976.15498504313632</v>
      </c>
      <c r="N146" s="59">
        <f t="shared" ca="1" si="63"/>
        <v>953.98609141480335</v>
      </c>
      <c r="O146" s="59">
        <f t="shared" ca="1" si="63"/>
        <v>926.76375976114798</v>
      </c>
      <c r="P146" s="59">
        <f t="shared" ca="1" si="63"/>
        <v>893.99892883030623</v>
      </c>
      <c r="Q146" s="59">
        <f t="shared" ca="1" si="63"/>
        <v>855.16308506846269</v>
      </c>
      <c r="R146" s="59">
        <f t="shared" ca="1" si="63"/>
        <v>809.68530055451356</v>
      </c>
    </row>
    <row r="147" spans="1:18" x14ac:dyDescent="0.2">
      <c r="C147" s="58" t="s">
        <v>213</v>
      </c>
      <c r="D147" s="59"/>
      <c r="E147" s="59"/>
      <c r="F147" s="59"/>
      <c r="G147" s="59"/>
      <c r="H147" s="67">
        <f>H146/H33*-1</f>
        <v>8.9254566735415444E-2</v>
      </c>
      <c r="I147" s="67">
        <f>I146/I33*-1</f>
        <v>0.11832830887463244</v>
      </c>
      <c r="J147" s="67">
        <f>J146/J33*-1</f>
        <v>0.11728198505937938</v>
      </c>
      <c r="K147" s="67">
        <f>K146/K33*-1</f>
        <v>0.11859078501009622</v>
      </c>
      <c r="L147" s="67">
        <f>L146/L33*-1</f>
        <v>0.11656572563049854</v>
      </c>
      <c r="M147" s="72">
        <f>L147</f>
        <v>0.11656572563049854</v>
      </c>
      <c r="N147" s="72">
        <f t="shared" ref="N147:R147" si="64">M147</f>
        <v>0.11656572563049854</v>
      </c>
      <c r="O147" s="72">
        <f t="shared" si="64"/>
        <v>0.11656572563049854</v>
      </c>
      <c r="P147" s="72">
        <f t="shared" si="64"/>
        <v>0.11656572563049854</v>
      </c>
      <c r="Q147" s="72">
        <f t="shared" si="64"/>
        <v>0.11656572563049854</v>
      </c>
      <c r="R147" s="72">
        <f t="shared" si="64"/>
        <v>0.11656572563049854</v>
      </c>
    </row>
    <row r="148" spans="1:18" x14ac:dyDescent="0.2">
      <c r="C148" s="18" t="s">
        <v>210</v>
      </c>
      <c r="D148" s="59"/>
      <c r="E148" s="59"/>
      <c r="F148" s="59"/>
      <c r="G148" s="59"/>
      <c r="H148" s="68">
        <f>H146</f>
        <v>605.85999900000002</v>
      </c>
      <c r="I148" s="68">
        <f t="shared" ref="I148:R148" si="65">I146</f>
        <v>885.33240699999999</v>
      </c>
      <c r="J148" s="68">
        <f t="shared" si="65"/>
        <v>918.43522499999995</v>
      </c>
      <c r="K148" s="68">
        <f t="shared" si="65"/>
        <v>998.41581900000006</v>
      </c>
      <c r="L148" s="68">
        <f t="shared" si="65"/>
        <v>993.72281099999998</v>
      </c>
      <c r="M148" s="68">
        <f t="shared" ca="1" si="65"/>
        <v>976.15498504313632</v>
      </c>
      <c r="N148" s="68">
        <f t="shared" ca="1" si="65"/>
        <v>953.98609141480335</v>
      </c>
      <c r="O148" s="68">
        <f t="shared" ca="1" si="65"/>
        <v>926.76375976114798</v>
      </c>
      <c r="P148" s="68">
        <f t="shared" ca="1" si="65"/>
        <v>893.99892883030623</v>
      </c>
      <c r="Q148" s="68">
        <f t="shared" ca="1" si="65"/>
        <v>855.16308506846269</v>
      </c>
      <c r="R148" s="68">
        <f t="shared" ca="1" si="65"/>
        <v>809.68530055451356</v>
      </c>
    </row>
    <row r="149" spans="1:18" x14ac:dyDescent="0.2">
      <c r="C149" s="18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</row>
    <row r="150" spans="1:18" x14ac:dyDescent="0.2">
      <c r="C150" s="18" t="s">
        <v>211</v>
      </c>
      <c r="D150" s="59"/>
      <c r="E150" s="59"/>
      <c r="F150" s="59"/>
      <c r="G150" s="59"/>
      <c r="H150" s="68">
        <f>H144-H148</f>
        <v>1160.6391269999999</v>
      </c>
      <c r="I150" s="68">
        <f t="shared" ref="I150:R150" si="66">I144-I148</f>
        <v>810.05980699999998</v>
      </c>
      <c r="J150" s="68">
        <f t="shared" si="66"/>
        <v>1112.016858</v>
      </c>
      <c r="K150" s="68">
        <f t="shared" si="66"/>
        <v>1301.6793059999998</v>
      </c>
      <c r="L150" s="68">
        <f t="shared" si="66"/>
        <v>1361.6609949999997</v>
      </c>
      <c r="M150" s="68">
        <f t="shared" ca="1" si="66"/>
        <v>1408.4723137430394</v>
      </c>
      <c r="N150" s="68">
        <f t="shared" ca="1" si="66"/>
        <v>1523.0455151993365</v>
      </c>
      <c r="O150" s="68">
        <f t="shared" ca="1" si="66"/>
        <v>1646.2528216092905</v>
      </c>
      <c r="P150" s="68">
        <f t="shared" ca="1" si="66"/>
        <v>1778.7220450682366</v>
      </c>
      <c r="Q150" s="68">
        <f t="shared" ca="1" si="66"/>
        <v>1921.1258265686488</v>
      </c>
      <c r="R150" s="68">
        <f t="shared" ca="1" si="66"/>
        <v>2074.1848064085361</v>
      </c>
    </row>
    <row r="151" spans="1:18" x14ac:dyDescent="0.2">
      <c r="C151" s="18" t="s">
        <v>212</v>
      </c>
      <c r="D151" s="59"/>
      <c r="E151" s="59"/>
      <c r="F151" s="59"/>
      <c r="G151" s="59"/>
      <c r="H151" s="59"/>
      <c r="I151" s="68">
        <f>I150-H150</f>
        <v>-350.57931999999994</v>
      </c>
      <c r="J151" s="68">
        <f t="shared" ref="J151:L151" si="67">J150-I150</f>
        <v>301.95705099999998</v>
      </c>
      <c r="K151" s="68">
        <f t="shared" si="67"/>
        <v>189.66244799999981</v>
      </c>
      <c r="L151" s="68">
        <f t="shared" si="67"/>
        <v>59.98168899999996</v>
      </c>
      <c r="M151" s="68">
        <f t="shared" ref="M151" ca="1" si="68">M150-L150</f>
        <v>46.811318743039692</v>
      </c>
      <c r="N151" s="68">
        <f t="shared" ref="N151" ca="1" si="69">N150-M150</f>
        <v>114.57320145629706</v>
      </c>
      <c r="O151" s="68">
        <f t="shared" ref="O151" ca="1" si="70">O150-N150</f>
        <v>123.20730640995407</v>
      </c>
      <c r="P151" s="68">
        <f t="shared" ref="P151" ca="1" si="71">P150-O150</f>
        <v>132.46922345894609</v>
      </c>
      <c r="Q151" s="68">
        <f t="shared" ref="Q151" ca="1" si="72">Q150-P150</f>
        <v>142.40378150041215</v>
      </c>
      <c r="R151" s="68">
        <f t="shared" ref="R151" ca="1" si="73">R150-Q150</f>
        <v>153.05897983988734</v>
      </c>
    </row>
    <row r="152" spans="1:18" x14ac:dyDescent="0.2">
      <c r="C152" s="18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</row>
    <row r="153" spans="1:18" x14ac:dyDescent="0.2">
      <c r="A153" s="7" t="s">
        <v>7</v>
      </c>
      <c r="C153" t="s">
        <v>12</v>
      </c>
    </row>
  </sheetData>
  <conditionalFormatting sqref="F104:L108">
    <cfRule type="cellIs" dxfId="7" priority="7" operator="lessThan">
      <formula>250</formula>
    </cfRule>
    <cfRule type="cellIs" dxfId="6" priority="8" operator="greaterThan">
      <formula>400</formula>
    </cfRule>
  </conditionalFormatting>
  <conditionalFormatting sqref="F113:L117">
    <cfRule type="cellIs" dxfId="5" priority="5" operator="lessThan">
      <formula>250</formula>
    </cfRule>
    <cfRule type="cellIs" dxfId="4" priority="6" operator="greaterThan">
      <formula>400</formula>
    </cfRule>
  </conditionalFormatting>
  <conditionalFormatting sqref="F122:L126">
    <cfRule type="cellIs" dxfId="3" priority="3" operator="lessThan">
      <formula>250</formula>
    </cfRule>
    <cfRule type="cellIs" dxfId="2" priority="4" operator="greaterThan">
      <formula>400</formula>
    </cfRule>
  </conditionalFormatting>
  <conditionalFormatting sqref="F131:L135">
    <cfRule type="cellIs" dxfId="1" priority="1" operator="lessThan">
      <formula>250</formula>
    </cfRule>
    <cfRule type="cellIs" dxfId="0" priority="2" operator="greaterThan">
      <formula>400</formula>
    </cfRule>
  </conditionalFormatting>
  <dataValidations count="1">
    <dataValidation type="list" allowBlank="1" showInputMessage="1" showErrorMessage="1" sqref="E16" xr:uid="{A5690996-6CF1-5540-B889-9C4A94D561CE}">
      <formula1>"1,2,3"</formula1>
    </dataValidation>
  </dataValidations>
  <pageMargins left="0.7" right="0.7" top="0.75" bottom="0.75" header="0.3" footer="0.3"/>
  <pageSetup paperSize="9" scale="31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0A21-A5D6-0546-A9B9-2B86ED743B2D}">
  <sheetPr>
    <tabColor rgb="FFC00000"/>
  </sheetPr>
  <dimension ref="A1"/>
  <sheetViews>
    <sheetView topLeftCell="XFD1048576" workbookViewId="0">
      <selection sqref="A1:XFD1048576"/>
    </sheetView>
  </sheetViews>
  <sheetFormatPr baseColWidth="10" defaultColWidth="0" defaultRowHeight="16" zeroHeight="1" x14ac:dyDescent="0.2"/>
  <cols>
    <col min="1" max="16384" width="10.83203125" hidden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470E-620C-124D-830B-6574DF490C47}">
  <dimension ref="C1:F21"/>
  <sheetViews>
    <sheetView showGridLines="0" workbookViewId="0">
      <selection activeCell="D9" sqref="D9"/>
    </sheetView>
  </sheetViews>
  <sheetFormatPr baseColWidth="10" defaultRowHeight="16" x14ac:dyDescent="0.2"/>
  <cols>
    <col min="1" max="2" width="2.83203125" customWidth="1"/>
    <col min="4" max="4" width="20.33203125" bestFit="1" customWidth="1"/>
  </cols>
  <sheetData>
    <row r="1" spans="3:6" s="3" customFormat="1" x14ac:dyDescent="0.2"/>
    <row r="2" spans="3:6" s="3" customFormat="1" x14ac:dyDescent="0.2"/>
    <row r="3" spans="3:6" s="3" customFormat="1" ht="27" x14ac:dyDescent="0.35">
      <c r="C3" s="5" t="s">
        <v>216</v>
      </c>
    </row>
    <row r="5" spans="3:6" x14ac:dyDescent="0.2">
      <c r="C5" s="18" t="s">
        <v>219</v>
      </c>
    </row>
    <row r="6" spans="3:6" x14ac:dyDescent="0.2">
      <c r="C6" s="18" t="s">
        <v>217</v>
      </c>
    </row>
    <row r="7" spans="3:6" x14ac:dyDescent="0.2">
      <c r="C7" s="18" t="s">
        <v>218</v>
      </c>
    </row>
    <row r="9" spans="3:6" x14ac:dyDescent="0.2">
      <c r="C9" s="66" t="s">
        <v>220</v>
      </c>
      <c r="D9" s="112">
        <v>4.3799999999999999E-2</v>
      </c>
      <c r="F9" s="57" t="s">
        <v>230</v>
      </c>
    </row>
    <row r="10" spans="3:6" x14ac:dyDescent="0.2">
      <c r="C10" s="66" t="s">
        <v>221</v>
      </c>
      <c r="D10" s="113">
        <v>0.56999999999999995</v>
      </c>
      <c r="F10" s="57" t="s">
        <v>231</v>
      </c>
    </row>
    <row r="11" spans="3:6" x14ac:dyDescent="0.2">
      <c r="C11" s="66" t="s">
        <v>222</v>
      </c>
      <c r="D11" s="114">
        <v>4.5999999999999999E-2</v>
      </c>
      <c r="F11" s="57" t="s">
        <v>232</v>
      </c>
    </row>
    <row r="12" spans="3:6" x14ac:dyDescent="0.2">
      <c r="C12" s="18" t="s">
        <v>223</v>
      </c>
      <c r="D12" s="116">
        <f>D9+D10*D11</f>
        <v>7.0019999999999999E-2</v>
      </c>
    </row>
    <row r="14" spans="3:6" x14ac:dyDescent="0.2">
      <c r="C14" s="66" t="s">
        <v>224</v>
      </c>
      <c r="D14" s="115">
        <v>217140</v>
      </c>
      <c r="F14" s="57" t="s">
        <v>231</v>
      </c>
    </row>
    <row r="15" spans="3:6" x14ac:dyDescent="0.2">
      <c r="C15" s="66" t="s">
        <v>225</v>
      </c>
      <c r="D15" s="83">
        <f>BS!L48</f>
        <v>49552.871610000002</v>
      </c>
      <c r="F15" s="57" t="s">
        <v>233</v>
      </c>
    </row>
    <row r="16" spans="3:6" x14ac:dyDescent="0.2">
      <c r="C16" s="18" t="s">
        <v>226</v>
      </c>
      <c r="D16" s="70">
        <f>E/(SUM(D14:D15))</f>
        <v>0.81419499024906827</v>
      </c>
    </row>
    <row r="17" spans="3:4" x14ac:dyDescent="0.2">
      <c r="C17" s="18" t="s">
        <v>227</v>
      </c>
      <c r="D17" s="70">
        <f>D/SUM(D14:D15)</f>
        <v>0.18580500975093159</v>
      </c>
    </row>
    <row r="18" spans="3:4" x14ac:dyDescent="0.2">
      <c r="C18" s="66" t="s">
        <v>229</v>
      </c>
      <c r="D18" s="117">
        <f>(1-'DCF model'!M67)</f>
        <v>0.79823580885670808</v>
      </c>
    </row>
    <row r="19" spans="3:4" x14ac:dyDescent="0.2">
      <c r="C19" s="18" t="s">
        <v>228</v>
      </c>
      <c r="D19" s="116">
        <f>IS!L25/D</f>
        <v>2.8958967530560032E-2</v>
      </c>
    </row>
    <row r="21" spans="3:4" x14ac:dyDescent="0.2">
      <c r="C21" s="118" t="s">
        <v>216</v>
      </c>
      <c r="D21" s="119">
        <f>ke*E_perc+kd*Tax_shield*D_perc</f>
        <v>6.1305017591989974E-2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068E-40B2-D947-8C7E-9543C7572D74}">
  <dimension ref="B1:M27"/>
  <sheetViews>
    <sheetView showGridLines="0" workbookViewId="0">
      <selection activeCell="G26" sqref="G26"/>
    </sheetView>
  </sheetViews>
  <sheetFormatPr baseColWidth="10" defaultRowHeight="16" x14ac:dyDescent="0.2"/>
  <cols>
    <col min="2" max="2" width="24" bestFit="1" customWidth="1"/>
    <col min="4" max="4" width="20.33203125" bestFit="1" customWidth="1"/>
    <col min="7" max="7" width="10.83203125" style="81"/>
  </cols>
  <sheetData>
    <row r="1" spans="2:13" x14ac:dyDescent="0.2">
      <c r="B1" s="20" t="s">
        <v>116</v>
      </c>
      <c r="C1" s="21"/>
      <c r="D1" s="21"/>
      <c r="E1" s="21"/>
      <c r="F1" s="21"/>
      <c r="G1" s="75"/>
      <c r="H1" s="21"/>
      <c r="I1" s="21"/>
      <c r="J1" s="21"/>
      <c r="K1" s="21"/>
      <c r="L1" s="21"/>
      <c r="M1" s="21"/>
    </row>
    <row r="2" spans="2:13" x14ac:dyDescent="0.2">
      <c r="B2" s="21" t="s">
        <v>117</v>
      </c>
      <c r="C2" s="21"/>
      <c r="D2" s="21"/>
      <c r="E2" s="21"/>
      <c r="F2" s="21"/>
      <c r="G2" s="75"/>
      <c r="H2" s="21"/>
      <c r="I2" s="21"/>
      <c r="J2" s="21"/>
      <c r="K2" s="21"/>
      <c r="L2" s="21"/>
      <c r="M2" s="21"/>
    </row>
    <row r="3" spans="2:13" x14ac:dyDescent="0.2">
      <c r="B3" s="71"/>
      <c r="C3" s="71" t="s">
        <v>118</v>
      </c>
      <c r="D3" s="71" t="s">
        <v>119</v>
      </c>
      <c r="E3" s="71" t="s">
        <v>120</v>
      </c>
      <c r="F3" s="71" t="s">
        <v>121</v>
      </c>
      <c r="G3" s="76" t="s">
        <v>122</v>
      </c>
      <c r="H3" s="71" t="s">
        <v>123</v>
      </c>
      <c r="I3" s="71" t="s">
        <v>124</v>
      </c>
      <c r="J3" s="71" t="s">
        <v>125</v>
      </c>
      <c r="K3" s="71" t="s">
        <v>126</v>
      </c>
      <c r="L3" s="71" t="s">
        <v>127</v>
      </c>
      <c r="M3" s="71" t="s">
        <v>128</v>
      </c>
    </row>
    <row r="4" spans="2:13" x14ac:dyDescent="0.2">
      <c r="B4" s="47" t="s">
        <v>43</v>
      </c>
      <c r="C4" s="40">
        <v>15845</v>
      </c>
      <c r="D4" s="40">
        <v>20830</v>
      </c>
      <c r="E4" s="40">
        <v>21346</v>
      </c>
      <c r="F4" s="40">
        <v>23769</v>
      </c>
      <c r="G4" s="77">
        <v>25127</v>
      </c>
      <c r="H4" s="40">
        <v>23060</v>
      </c>
      <c r="I4" s="40">
        <v>24346</v>
      </c>
      <c r="J4" s="40">
        <v>25549</v>
      </c>
      <c r="K4" s="40">
        <v>26280</v>
      </c>
      <c r="L4" s="40">
        <v>26724</v>
      </c>
      <c r="M4" s="40">
        <v>27928</v>
      </c>
    </row>
    <row r="5" spans="2:13" x14ac:dyDescent="0.2">
      <c r="B5" s="54" t="s">
        <v>129</v>
      </c>
      <c r="C5" s="34">
        <v>5759</v>
      </c>
      <c r="D5" s="34">
        <v>7218</v>
      </c>
      <c r="E5" s="34">
        <v>6796</v>
      </c>
      <c r="F5" s="34">
        <v>7668</v>
      </c>
      <c r="G5" s="78">
        <v>8079</v>
      </c>
      <c r="H5" s="34">
        <v>7100</v>
      </c>
      <c r="I5" s="34">
        <v>7503</v>
      </c>
      <c r="J5" s="34">
        <v>7846</v>
      </c>
      <c r="K5" s="38" t="s">
        <v>130</v>
      </c>
      <c r="L5" s="38" t="s">
        <v>130</v>
      </c>
      <c r="M5" s="38" t="s">
        <v>130</v>
      </c>
    </row>
    <row r="6" spans="2:13" x14ac:dyDescent="0.2">
      <c r="B6" s="47" t="s">
        <v>49</v>
      </c>
      <c r="C6" s="41" t="s">
        <v>130</v>
      </c>
      <c r="D6" s="40">
        <v>10463</v>
      </c>
      <c r="E6" s="40">
        <v>11493</v>
      </c>
      <c r="F6" s="40">
        <v>13578</v>
      </c>
      <c r="G6" s="79" t="s">
        <v>130</v>
      </c>
      <c r="H6" s="40">
        <v>12019</v>
      </c>
      <c r="I6" s="40">
        <v>12871</v>
      </c>
      <c r="J6" s="41" t="s">
        <v>130</v>
      </c>
      <c r="K6" s="41" t="s">
        <v>130</v>
      </c>
      <c r="L6" s="41" t="s">
        <v>130</v>
      </c>
      <c r="M6" s="41" t="s">
        <v>130</v>
      </c>
    </row>
    <row r="7" spans="2:13" x14ac:dyDescent="0.2">
      <c r="B7" s="54" t="s">
        <v>131</v>
      </c>
      <c r="C7" s="38" t="s">
        <v>130</v>
      </c>
      <c r="D7" s="38" t="s">
        <v>130</v>
      </c>
      <c r="E7" s="38" t="s">
        <v>130</v>
      </c>
      <c r="F7" s="38" t="s">
        <v>130</v>
      </c>
      <c r="G7" s="80" t="s">
        <v>130</v>
      </c>
      <c r="H7" s="34">
        <v>2212</v>
      </c>
      <c r="I7" s="34">
        <v>2328</v>
      </c>
      <c r="J7" s="38" t="s">
        <v>130</v>
      </c>
      <c r="K7" s="38" t="s">
        <v>130</v>
      </c>
      <c r="L7" s="38" t="s">
        <v>130</v>
      </c>
      <c r="M7" s="38" t="s">
        <v>130</v>
      </c>
    </row>
    <row r="8" spans="2:13" x14ac:dyDescent="0.2">
      <c r="B8" s="47" t="s">
        <v>83</v>
      </c>
      <c r="C8" s="40">
        <v>7314</v>
      </c>
      <c r="D8" s="40">
        <v>10722</v>
      </c>
      <c r="E8" s="40">
        <v>11281</v>
      </c>
      <c r="F8" s="40">
        <v>12964</v>
      </c>
      <c r="G8" s="77">
        <v>13602</v>
      </c>
      <c r="H8" s="40">
        <v>12649</v>
      </c>
      <c r="I8" s="40">
        <v>13507</v>
      </c>
      <c r="J8" s="40">
        <v>14343</v>
      </c>
      <c r="K8" s="40">
        <v>14732</v>
      </c>
      <c r="L8" s="40">
        <v>15423</v>
      </c>
      <c r="M8" s="40">
        <v>16266</v>
      </c>
    </row>
    <row r="9" spans="2:13" x14ac:dyDescent="0.2">
      <c r="B9" s="54" t="s">
        <v>132</v>
      </c>
      <c r="C9" s="34">
        <v>5890</v>
      </c>
      <c r="D9" s="34">
        <v>9158</v>
      </c>
      <c r="E9" s="34">
        <v>9558</v>
      </c>
      <c r="F9" s="34">
        <v>11114</v>
      </c>
      <c r="G9" s="78">
        <v>11634</v>
      </c>
      <c r="H9" s="34">
        <v>10766</v>
      </c>
      <c r="I9" s="34">
        <v>11544</v>
      </c>
      <c r="J9" s="34">
        <v>12260</v>
      </c>
      <c r="K9" s="34">
        <v>12694</v>
      </c>
      <c r="L9" s="34">
        <v>13648</v>
      </c>
      <c r="M9" s="34">
        <v>14487</v>
      </c>
    </row>
    <row r="10" spans="2:13" x14ac:dyDescent="0.2">
      <c r="B10" s="47" t="s">
        <v>64</v>
      </c>
      <c r="C10" s="40">
        <v>4926</v>
      </c>
      <c r="D10" s="40">
        <v>7998</v>
      </c>
      <c r="E10" s="40">
        <v>8595</v>
      </c>
      <c r="F10" s="40">
        <v>9820</v>
      </c>
      <c r="G10" s="77">
        <v>10258</v>
      </c>
      <c r="H10" s="40">
        <v>9456</v>
      </c>
      <c r="I10" s="40">
        <v>10235</v>
      </c>
      <c r="J10" s="40">
        <v>10972</v>
      </c>
      <c r="K10" s="40">
        <v>11366</v>
      </c>
      <c r="L10" s="40">
        <v>12298</v>
      </c>
      <c r="M10" s="40">
        <v>13128</v>
      </c>
    </row>
    <row r="11" spans="2:13" x14ac:dyDescent="0.2">
      <c r="B11" s="54" t="s">
        <v>133</v>
      </c>
      <c r="C11" s="34">
        <v>1163</v>
      </c>
      <c r="D11" s="34">
        <v>1609</v>
      </c>
      <c r="E11" s="34">
        <v>1517</v>
      </c>
      <c r="F11" s="34">
        <v>1915</v>
      </c>
      <c r="G11" s="78">
        <v>2056</v>
      </c>
      <c r="H11" s="34">
        <v>2020</v>
      </c>
      <c r="I11" s="34">
        <v>2158</v>
      </c>
      <c r="J11" s="34">
        <v>2327</v>
      </c>
      <c r="K11" s="34">
        <v>2418</v>
      </c>
      <c r="L11" s="34">
        <v>2582</v>
      </c>
      <c r="M11" s="34">
        <v>2757</v>
      </c>
    </row>
    <row r="12" spans="2:13" x14ac:dyDescent="0.2">
      <c r="B12" s="47" t="s">
        <v>71</v>
      </c>
      <c r="C12" s="40">
        <v>3744</v>
      </c>
      <c r="D12" s="40">
        <v>6258</v>
      </c>
      <c r="E12" s="40">
        <v>6892</v>
      </c>
      <c r="F12" s="40">
        <v>8151</v>
      </c>
      <c r="G12" s="77">
        <v>8200</v>
      </c>
      <c r="H12" s="40">
        <v>7465</v>
      </c>
      <c r="I12" s="40">
        <v>8083</v>
      </c>
      <c r="J12" s="40">
        <v>8675</v>
      </c>
      <c r="K12" s="40">
        <v>8988</v>
      </c>
      <c r="L12" s="40">
        <v>9813</v>
      </c>
      <c r="M12" s="40">
        <v>10466</v>
      </c>
    </row>
    <row r="14" spans="2:13" x14ac:dyDescent="0.2">
      <c r="B14" t="s">
        <v>140</v>
      </c>
      <c r="H14" s="70">
        <f>H8/H4</f>
        <v>0.54852558542931484</v>
      </c>
      <c r="I14" s="70">
        <f t="shared" ref="I14:M14" si="0">I8/I4</f>
        <v>0.55479339521892712</v>
      </c>
      <c r="J14" s="70">
        <f t="shared" si="0"/>
        <v>0.56139183529688053</v>
      </c>
      <c r="K14" s="70">
        <f t="shared" si="0"/>
        <v>0.56057838660578385</v>
      </c>
      <c r="L14" s="70">
        <f t="shared" si="0"/>
        <v>0.57712168837000444</v>
      </c>
      <c r="M14" s="70">
        <f t="shared" si="0"/>
        <v>0.58242623890002865</v>
      </c>
    </row>
    <row r="15" spans="2:13" x14ac:dyDescent="0.2">
      <c r="H15" s="27">
        <f>H8-H6</f>
        <v>630</v>
      </c>
      <c r="I15" s="27">
        <f t="shared" ref="I15:M15" si="1">I8-I6</f>
        <v>636</v>
      </c>
      <c r="J15" s="27" t="e">
        <f t="shared" si="1"/>
        <v>#VALUE!</v>
      </c>
      <c r="K15" s="27" t="e">
        <f t="shared" si="1"/>
        <v>#VALUE!</v>
      </c>
      <c r="L15" s="27" t="e">
        <f t="shared" si="1"/>
        <v>#VALUE!</v>
      </c>
      <c r="M15" s="27" t="e">
        <f t="shared" si="1"/>
        <v>#VALUE!</v>
      </c>
    </row>
    <row r="17" spans="2:13" x14ac:dyDescent="0.2">
      <c r="H17" s="27">
        <f>H8-H9</f>
        <v>1883</v>
      </c>
      <c r="I17" s="27">
        <f t="shared" ref="I17:M17" si="2">I8-I9</f>
        <v>1963</v>
      </c>
      <c r="J17" s="27">
        <f t="shared" si="2"/>
        <v>2083</v>
      </c>
      <c r="K17" s="27">
        <f t="shared" si="2"/>
        <v>2038</v>
      </c>
      <c r="L17" s="27">
        <f t="shared" si="2"/>
        <v>1775</v>
      </c>
      <c r="M17" s="27">
        <f t="shared" si="2"/>
        <v>1779</v>
      </c>
    </row>
    <row r="18" spans="2:13" x14ac:dyDescent="0.2">
      <c r="H18" s="70">
        <f>H17/H4</f>
        <v>8.1656548135299226E-2</v>
      </c>
      <c r="I18" s="70">
        <f t="shared" ref="I18:M18" si="3">I17/I4</f>
        <v>8.0629261480325315E-2</v>
      </c>
      <c r="J18" s="70">
        <f t="shared" si="3"/>
        <v>8.1529609769462608E-2</v>
      </c>
      <c r="K18" s="70">
        <f t="shared" si="3"/>
        <v>7.754946727549468E-2</v>
      </c>
      <c r="L18" s="70">
        <f t="shared" si="3"/>
        <v>6.6419697650052387E-2</v>
      </c>
      <c r="M18" s="70">
        <f t="shared" si="3"/>
        <v>6.3699513033514746E-2</v>
      </c>
    </row>
    <row r="20" spans="2:13" x14ac:dyDescent="0.2">
      <c r="H20" s="67">
        <f>H12/H4</f>
        <v>0.32372072853425848</v>
      </c>
      <c r="I20" s="67">
        <f t="shared" ref="I20:M20" si="4">I12/I4</f>
        <v>0.33200525753717242</v>
      </c>
      <c r="J20" s="67">
        <f t="shared" si="4"/>
        <v>0.33954362205957178</v>
      </c>
      <c r="K20" s="67">
        <f t="shared" si="4"/>
        <v>0.34200913242009134</v>
      </c>
      <c r="L20" s="67">
        <f t="shared" si="4"/>
        <v>0.36719802424786707</v>
      </c>
      <c r="M20" s="67">
        <f t="shared" si="4"/>
        <v>0.37474935548553423</v>
      </c>
    </row>
    <row r="25" spans="2:13" x14ac:dyDescent="0.2">
      <c r="B25" s="17" t="s">
        <v>144</v>
      </c>
      <c r="C25">
        <v>1354</v>
      </c>
      <c r="D25">
        <v>1830</v>
      </c>
      <c r="E25">
        <v>1749</v>
      </c>
      <c r="F25">
        <v>2198</v>
      </c>
      <c r="G25" s="81">
        <v>2690</v>
      </c>
      <c r="H25">
        <v>2707</v>
      </c>
      <c r="I25">
        <v>2928</v>
      </c>
      <c r="J25">
        <v>3261</v>
      </c>
      <c r="K25">
        <v>3525</v>
      </c>
      <c r="L25" s="94">
        <f>K25*(1+L27)</f>
        <v>3774.0819325740654</v>
      </c>
      <c r="M25" s="94">
        <f>L25*(1+M27)</f>
        <v>4040.7643783778699</v>
      </c>
    </row>
    <row r="26" spans="2:13" x14ac:dyDescent="0.2">
      <c r="B26" t="s">
        <v>89</v>
      </c>
      <c r="C26" s="89">
        <f t="shared" ref="C26:K26" si="5">C25/C4</f>
        <v>8.5452824234774377E-2</v>
      </c>
      <c r="D26" s="90">
        <f t="shared" si="5"/>
        <v>8.7854056649063844E-2</v>
      </c>
      <c r="E26" s="90">
        <f t="shared" si="5"/>
        <v>8.1935725662887662E-2</v>
      </c>
      <c r="F26" s="90">
        <f t="shared" si="5"/>
        <v>9.2473389709285203E-2</v>
      </c>
      <c r="G26" s="91">
        <f t="shared" si="5"/>
        <v>0.10705615473395153</v>
      </c>
      <c r="H26" s="91">
        <f t="shared" si="5"/>
        <v>0.11738941890719862</v>
      </c>
      <c r="I26" s="91">
        <f t="shared" si="5"/>
        <v>0.1202661628193543</v>
      </c>
      <c r="J26" s="91">
        <f t="shared" si="5"/>
        <v>0.12763708951426669</v>
      </c>
      <c r="K26" s="91">
        <f t="shared" si="5"/>
        <v>0.1341324200913242</v>
      </c>
      <c r="L26" s="70"/>
      <c r="M26" s="70"/>
    </row>
    <row r="27" spans="2:13" x14ac:dyDescent="0.2">
      <c r="B27" t="s">
        <v>87</v>
      </c>
      <c r="D27" s="93">
        <f>D25/C25-1</f>
        <v>0.35155096011816833</v>
      </c>
      <c r="E27" s="93">
        <f t="shared" ref="E27:I27" si="6">E25/D25-1</f>
        <v>-4.4262295081967218E-2</v>
      </c>
      <c r="F27" s="93">
        <f>F25/E25-1</f>
        <v>0.25671812464265287</v>
      </c>
      <c r="G27" s="93">
        <f t="shared" si="6"/>
        <v>0.22383985441310283</v>
      </c>
      <c r="H27" s="93">
        <f t="shared" si="6"/>
        <v>6.3197026022305813E-3</v>
      </c>
      <c r="I27" s="93">
        <f t="shared" si="6"/>
        <v>8.1640192094569741E-2</v>
      </c>
      <c r="J27" s="93">
        <f>J25/I25-1</f>
        <v>0.11372950819672134</v>
      </c>
      <c r="K27" s="93">
        <f>K25/J25-1</f>
        <v>8.0956761729530813E-2</v>
      </c>
      <c r="L27" s="93">
        <f>AVERAGE(H27:K27)</f>
        <v>7.0661541155763119E-2</v>
      </c>
      <c r="M27" s="93">
        <f>L27</f>
        <v>7.0661541155763119E-2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5E63-EB01-CC40-A894-CB4480EE08D7}">
  <dimension ref="B1:O56"/>
  <sheetViews>
    <sheetView showGridLines="0" workbookViewId="0"/>
  </sheetViews>
  <sheetFormatPr baseColWidth="10" defaultRowHeight="16" x14ac:dyDescent="0.2"/>
  <cols>
    <col min="2" max="2" width="47.33203125" bestFit="1" customWidth="1"/>
  </cols>
  <sheetData>
    <row r="1" spans="2:15" x14ac:dyDescent="0.2">
      <c r="B1" s="20" t="s">
        <v>26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2:15" x14ac:dyDescent="0.2">
      <c r="B2" s="22" t="s">
        <v>27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2:15" x14ac:dyDescent="0.2">
      <c r="B3" s="21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2:15" x14ac:dyDescent="0.2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2:15" x14ac:dyDescent="0.2">
      <c r="B5" s="24" t="s">
        <v>18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2:15" x14ac:dyDescent="0.2">
      <c r="B6" s="24" t="s">
        <v>28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2:15" x14ac:dyDescent="0.2">
      <c r="B7" s="24" t="s">
        <v>29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2:15" x14ac:dyDescent="0.2">
      <c r="B8" s="24"/>
      <c r="C8" s="24" t="s">
        <v>30</v>
      </c>
      <c r="D8" s="24" t="s">
        <v>31</v>
      </c>
      <c r="E8" s="24" t="s">
        <v>32</v>
      </c>
      <c r="F8" s="24" t="s">
        <v>33</v>
      </c>
      <c r="G8" s="24" t="s">
        <v>34</v>
      </c>
      <c r="H8" s="24" t="s">
        <v>35</v>
      </c>
      <c r="I8" s="24" t="s">
        <v>36</v>
      </c>
      <c r="J8" s="24" t="s">
        <v>37</v>
      </c>
      <c r="K8" s="24" t="s">
        <v>38</v>
      </c>
      <c r="L8" s="24" t="s">
        <v>39</v>
      </c>
      <c r="M8" s="24" t="s">
        <v>40</v>
      </c>
      <c r="O8" s="24" t="s">
        <v>114</v>
      </c>
    </row>
    <row r="9" spans="2:15" x14ac:dyDescent="0.2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 t="s">
        <v>41</v>
      </c>
      <c r="O9" t="s">
        <v>115</v>
      </c>
    </row>
    <row r="10" spans="2:15" x14ac:dyDescent="0.2">
      <c r="B10" s="24"/>
      <c r="C10" s="24"/>
      <c r="D10" s="24"/>
      <c r="E10" s="24"/>
      <c r="F10" s="24"/>
      <c r="G10" s="24" t="s">
        <v>42</v>
      </c>
      <c r="H10" s="24"/>
      <c r="I10" s="24"/>
      <c r="J10" s="24"/>
      <c r="K10" s="24"/>
      <c r="L10" s="24"/>
      <c r="M10" s="24"/>
    </row>
    <row r="11" spans="2:15" x14ac:dyDescent="0.2">
      <c r="B11" s="26" t="s">
        <v>43</v>
      </c>
      <c r="C11" s="29">
        <v>22917</v>
      </c>
      <c r="D11" s="29">
        <v>22258</v>
      </c>
      <c r="E11" s="29">
        <v>20232</v>
      </c>
      <c r="F11" s="29">
        <v>17822</v>
      </c>
      <c r="G11" s="29">
        <v>19088</v>
      </c>
      <c r="H11" s="29">
        <v>16849</v>
      </c>
      <c r="I11" s="29">
        <v>19647</v>
      </c>
      <c r="J11" s="29">
        <v>22058</v>
      </c>
      <c r="K11" s="29">
        <v>23581</v>
      </c>
      <c r="L11" s="29">
        <v>23962</v>
      </c>
      <c r="M11" s="29">
        <v>23790</v>
      </c>
      <c r="O11" s="70">
        <f>9/12</f>
        <v>0.75</v>
      </c>
    </row>
    <row r="12" spans="2:15" x14ac:dyDescent="0.2">
      <c r="B12" s="30" t="s">
        <v>44</v>
      </c>
      <c r="C12" s="31">
        <v>14089</v>
      </c>
      <c r="D12" s="31">
        <v>13033</v>
      </c>
      <c r="E12" s="31">
        <v>10816</v>
      </c>
      <c r="F12" s="31">
        <v>8679</v>
      </c>
      <c r="G12" s="31">
        <v>9134</v>
      </c>
      <c r="H12" s="31">
        <v>8324</v>
      </c>
      <c r="I12" s="31">
        <v>9063</v>
      </c>
      <c r="J12" s="31">
        <v>9611</v>
      </c>
      <c r="K12" s="31">
        <v>10249</v>
      </c>
      <c r="L12" s="31">
        <v>10463</v>
      </c>
      <c r="M12" s="31">
        <v>10171</v>
      </c>
      <c r="O12">
        <f>M11/O11</f>
        <v>31720</v>
      </c>
    </row>
    <row r="13" spans="2:15" x14ac:dyDescent="0.2">
      <c r="B13" s="33" t="s">
        <v>45</v>
      </c>
      <c r="C13" s="34">
        <v>12686</v>
      </c>
      <c r="D13" s="34">
        <v>11662</v>
      </c>
      <c r="E13" s="34">
        <v>9607</v>
      </c>
      <c r="F13" s="34">
        <v>7423</v>
      </c>
      <c r="G13" s="34">
        <v>7689</v>
      </c>
      <c r="H13" s="34">
        <v>6788</v>
      </c>
      <c r="I13" s="34">
        <v>7482</v>
      </c>
      <c r="J13" s="34">
        <v>7831</v>
      </c>
      <c r="K13" s="34">
        <v>8419</v>
      </c>
      <c r="L13" s="34">
        <v>8525</v>
      </c>
      <c r="M13" s="34">
        <v>8200</v>
      </c>
    </row>
    <row r="14" spans="2:15" x14ac:dyDescent="0.2">
      <c r="B14" s="35" t="s">
        <v>46</v>
      </c>
      <c r="C14" s="31">
        <v>1403</v>
      </c>
      <c r="D14" s="31">
        <v>1371</v>
      </c>
      <c r="E14" s="31">
        <v>1209</v>
      </c>
      <c r="F14" s="31">
        <v>1256</v>
      </c>
      <c r="G14" s="31">
        <v>1446</v>
      </c>
      <c r="H14" s="31">
        <v>1536</v>
      </c>
      <c r="I14" s="31">
        <v>1580</v>
      </c>
      <c r="J14" s="31">
        <v>1780</v>
      </c>
      <c r="K14" s="31">
        <v>1830</v>
      </c>
      <c r="L14" s="31">
        <v>1939</v>
      </c>
      <c r="M14" s="31">
        <v>1971</v>
      </c>
    </row>
    <row r="15" spans="2:15" x14ac:dyDescent="0.2">
      <c r="B15" s="37" t="s">
        <v>47</v>
      </c>
      <c r="C15" s="34">
        <v>1297</v>
      </c>
      <c r="D15" s="34">
        <v>1257</v>
      </c>
      <c r="E15" s="34">
        <v>1088</v>
      </c>
      <c r="F15" s="34">
        <v>1104</v>
      </c>
      <c r="G15" s="34">
        <v>1244</v>
      </c>
      <c r="H15" s="34">
        <v>1289</v>
      </c>
      <c r="I15" s="34">
        <v>1295</v>
      </c>
      <c r="J15" s="34">
        <v>1383</v>
      </c>
      <c r="K15" s="34">
        <v>1389</v>
      </c>
      <c r="L15" s="34">
        <v>1387</v>
      </c>
      <c r="M15" s="38"/>
    </row>
    <row r="16" spans="2:15" x14ac:dyDescent="0.2">
      <c r="B16" s="39" t="s">
        <v>48</v>
      </c>
      <c r="C16" s="40">
        <v>106</v>
      </c>
      <c r="D16" s="40">
        <v>114</v>
      </c>
      <c r="E16" s="40">
        <v>120</v>
      </c>
      <c r="F16" s="40">
        <v>152</v>
      </c>
      <c r="G16" s="40">
        <v>202</v>
      </c>
      <c r="H16" s="40">
        <v>247</v>
      </c>
      <c r="I16" s="40">
        <v>285</v>
      </c>
      <c r="J16" s="40">
        <v>396</v>
      </c>
      <c r="K16" s="40">
        <v>441</v>
      </c>
      <c r="L16" s="40">
        <v>552</v>
      </c>
      <c r="M16" s="41"/>
    </row>
    <row r="17" spans="2:13" x14ac:dyDescent="0.2">
      <c r="B17" s="26" t="s">
        <v>49</v>
      </c>
      <c r="C17" s="29">
        <v>8828</v>
      </c>
      <c r="D17" s="29">
        <v>9225</v>
      </c>
      <c r="E17" s="29">
        <v>9416</v>
      </c>
      <c r="F17" s="29">
        <v>9143</v>
      </c>
      <c r="G17" s="29">
        <v>9954</v>
      </c>
      <c r="H17" s="29">
        <v>8525</v>
      </c>
      <c r="I17" s="29">
        <v>10585</v>
      </c>
      <c r="J17" s="29">
        <v>12447</v>
      </c>
      <c r="K17" s="29">
        <v>13332</v>
      </c>
      <c r="L17" s="29">
        <v>13499</v>
      </c>
      <c r="M17" s="29">
        <v>13619</v>
      </c>
    </row>
    <row r="18" spans="2:13" x14ac:dyDescent="0.2">
      <c r="B18" s="30" t="s">
        <v>50</v>
      </c>
      <c r="C18" s="31">
        <v>2195</v>
      </c>
      <c r="D18" s="31">
        <v>2156</v>
      </c>
      <c r="E18" s="31">
        <v>1978</v>
      </c>
      <c r="F18" s="31">
        <v>1865</v>
      </c>
      <c r="G18" s="31">
        <v>2021</v>
      </c>
      <c r="H18" s="31">
        <v>2243</v>
      </c>
      <c r="I18" s="31">
        <v>2316</v>
      </c>
      <c r="J18" s="31">
        <v>2595</v>
      </c>
      <c r="K18" s="31">
        <v>2492</v>
      </c>
      <c r="L18" s="31">
        <v>2535</v>
      </c>
      <c r="M18" s="31">
        <v>2640</v>
      </c>
    </row>
    <row r="19" spans="2:13" x14ac:dyDescent="0.2">
      <c r="B19" s="33" t="s">
        <v>51</v>
      </c>
      <c r="C19" s="34">
        <v>2195</v>
      </c>
      <c r="D19" s="34">
        <v>2156</v>
      </c>
      <c r="E19" s="34">
        <v>1978</v>
      </c>
      <c r="F19" s="34">
        <v>1865</v>
      </c>
      <c r="G19" s="34">
        <v>2021</v>
      </c>
      <c r="H19" s="34">
        <v>2243</v>
      </c>
      <c r="I19" s="34">
        <v>2316</v>
      </c>
      <c r="J19" s="34">
        <v>2595</v>
      </c>
      <c r="K19" s="34">
        <v>2492</v>
      </c>
      <c r="L19" s="34">
        <v>2535</v>
      </c>
      <c r="M19" s="34">
        <v>2640</v>
      </c>
    </row>
    <row r="20" spans="2:13" x14ac:dyDescent="0.2">
      <c r="B20" s="42" t="s">
        <v>52</v>
      </c>
      <c r="C20" s="31">
        <v>6632</v>
      </c>
      <c r="D20" s="31">
        <v>7069</v>
      </c>
      <c r="E20" s="31">
        <v>7438</v>
      </c>
      <c r="F20" s="31">
        <v>7278</v>
      </c>
      <c r="G20" s="31">
        <v>7932</v>
      </c>
      <c r="H20" s="31">
        <v>6283</v>
      </c>
      <c r="I20" s="31">
        <v>8269</v>
      </c>
      <c r="J20" s="31">
        <v>9852</v>
      </c>
      <c r="K20" s="31">
        <v>10840</v>
      </c>
      <c r="L20" s="31">
        <v>10964</v>
      </c>
      <c r="M20" s="31">
        <v>10978</v>
      </c>
    </row>
    <row r="21" spans="2:13" x14ac:dyDescent="0.2">
      <c r="B21" s="43" t="s">
        <v>53</v>
      </c>
      <c r="C21" s="29">
        <v>-2</v>
      </c>
      <c r="D21" s="29">
        <v>218</v>
      </c>
      <c r="E21" s="29">
        <v>296</v>
      </c>
      <c r="F21" s="29">
        <v>356</v>
      </c>
      <c r="G21" s="29">
        <v>267</v>
      </c>
      <c r="H21" s="29">
        <v>-82</v>
      </c>
      <c r="I21" s="29">
        <v>118</v>
      </c>
      <c r="J21" s="29">
        <v>-1263</v>
      </c>
      <c r="K21" s="29">
        <v>861</v>
      </c>
      <c r="L21" s="29">
        <v>272</v>
      </c>
      <c r="M21" s="29">
        <v>2168</v>
      </c>
    </row>
    <row r="22" spans="2:13" x14ac:dyDescent="0.2">
      <c r="B22" s="44" t="s">
        <v>54</v>
      </c>
      <c r="C22" s="40">
        <v>9</v>
      </c>
      <c r="D22" s="40">
        <v>4</v>
      </c>
      <c r="E22" s="40">
        <v>6</v>
      </c>
      <c r="F22" s="40">
        <v>3</v>
      </c>
      <c r="G22" s="40">
        <v>33</v>
      </c>
      <c r="H22" s="40">
        <v>16</v>
      </c>
      <c r="I22" s="40">
        <v>8</v>
      </c>
      <c r="J22" s="40">
        <v>42</v>
      </c>
      <c r="K22" s="40">
        <v>172</v>
      </c>
      <c r="L22" s="40">
        <v>95</v>
      </c>
      <c r="M22" s="40">
        <v>73</v>
      </c>
    </row>
    <row r="23" spans="2:13" x14ac:dyDescent="0.2">
      <c r="B23" s="33" t="s">
        <v>55</v>
      </c>
      <c r="C23" s="45">
        <v>-132</v>
      </c>
      <c r="D23" s="34">
        <v>50</v>
      </c>
      <c r="E23" s="34">
        <v>163</v>
      </c>
      <c r="F23" s="34">
        <v>128</v>
      </c>
      <c r="G23" s="34">
        <v>137</v>
      </c>
      <c r="H23" s="34">
        <v>103</v>
      </c>
      <c r="I23" s="34">
        <v>149</v>
      </c>
      <c r="J23" s="34">
        <v>108</v>
      </c>
      <c r="K23" s="34">
        <v>142</v>
      </c>
      <c r="L23" s="34">
        <v>145</v>
      </c>
      <c r="M23" s="34">
        <v>176</v>
      </c>
    </row>
    <row r="24" spans="2:13" x14ac:dyDescent="0.2">
      <c r="B24" s="44" t="s">
        <v>56</v>
      </c>
      <c r="C24" s="40">
        <v>121</v>
      </c>
      <c r="D24" s="40">
        <v>165</v>
      </c>
      <c r="E24" s="40">
        <v>127</v>
      </c>
      <c r="F24" s="40">
        <v>224</v>
      </c>
      <c r="G24" s="40">
        <v>97</v>
      </c>
      <c r="H24" s="46">
        <v>-201</v>
      </c>
      <c r="I24" s="46">
        <v>-39</v>
      </c>
      <c r="J24" s="46">
        <v>-1413</v>
      </c>
      <c r="K24" s="40">
        <v>547</v>
      </c>
      <c r="L24" s="40">
        <v>31</v>
      </c>
      <c r="M24" s="40">
        <v>1919</v>
      </c>
    </row>
    <row r="25" spans="2:13" x14ac:dyDescent="0.2">
      <c r="B25" s="43" t="s">
        <v>57</v>
      </c>
      <c r="C25" s="29">
        <v>575</v>
      </c>
      <c r="D25" s="29">
        <v>799</v>
      </c>
      <c r="E25" s="29">
        <v>816</v>
      </c>
      <c r="F25" s="29">
        <v>831</v>
      </c>
      <c r="G25" s="29">
        <v>1057</v>
      </c>
      <c r="H25" s="29">
        <v>1075</v>
      </c>
      <c r="I25" s="29">
        <v>1010</v>
      </c>
      <c r="J25" s="29">
        <v>1236</v>
      </c>
      <c r="K25" s="29">
        <v>1297</v>
      </c>
      <c r="L25" s="29">
        <v>1435</v>
      </c>
      <c r="M25" s="29">
        <v>1460</v>
      </c>
    </row>
    <row r="26" spans="2:13" x14ac:dyDescent="0.2">
      <c r="B26" s="44" t="s">
        <v>58</v>
      </c>
      <c r="C26" s="40">
        <v>584</v>
      </c>
      <c r="D26" s="40">
        <v>806</v>
      </c>
      <c r="E26" s="40">
        <v>821</v>
      </c>
      <c r="F26" s="40">
        <v>835</v>
      </c>
      <c r="G26" s="40">
        <v>1063</v>
      </c>
      <c r="H26" s="40">
        <v>1080</v>
      </c>
      <c r="I26" s="40">
        <v>1016</v>
      </c>
      <c r="J26" s="40">
        <v>1245</v>
      </c>
      <c r="K26" s="40">
        <v>1303</v>
      </c>
      <c r="L26" s="40">
        <v>1443</v>
      </c>
      <c r="M26" s="40">
        <v>1460</v>
      </c>
    </row>
    <row r="27" spans="2:13" x14ac:dyDescent="0.2">
      <c r="B27" s="33" t="s">
        <v>59</v>
      </c>
      <c r="C27" s="34">
        <v>8</v>
      </c>
      <c r="D27" s="34">
        <v>6</v>
      </c>
      <c r="E27" s="34">
        <v>5</v>
      </c>
      <c r="F27" s="34">
        <v>5</v>
      </c>
      <c r="G27" s="34">
        <v>7</v>
      </c>
      <c r="H27" s="34">
        <v>5</v>
      </c>
      <c r="I27" s="34">
        <v>6</v>
      </c>
      <c r="J27" s="34">
        <v>9</v>
      </c>
      <c r="K27" s="34">
        <v>6</v>
      </c>
      <c r="L27" s="34">
        <v>8</v>
      </c>
      <c r="M27" s="38"/>
    </row>
    <row r="28" spans="2:13" x14ac:dyDescent="0.2">
      <c r="B28" s="30" t="s">
        <v>60</v>
      </c>
      <c r="C28" s="31">
        <v>143</v>
      </c>
      <c r="D28" s="31">
        <v>281</v>
      </c>
      <c r="E28" s="31">
        <v>-684</v>
      </c>
      <c r="F28" s="31">
        <v>177</v>
      </c>
      <c r="G28" s="31">
        <v>-21</v>
      </c>
      <c r="H28" s="31">
        <v>-261</v>
      </c>
      <c r="I28" s="31">
        <v>-346</v>
      </c>
      <c r="J28" s="31">
        <v>-94</v>
      </c>
      <c r="K28" s="31">
        <v>671</v>
      </c>
      <c r="L28" s="31">
        <v>238</v>
      </c>
      <c r="M28" s="31">
        <v>2015</v>
      </c>
    </row>
    <row r="29" spans="2:13" x14ac:dyDescent="0.2">
      <c r="B29" s="33" t="s">
        <v>61</v>
      </c>
      <c r="C29" s="34">
        <v>212</v>
      </c>
      <c r="D29" s="34">
        <v>309</v>
      </c>
      <c r="E29" s="45">
        <v>-623</v>
      </c>
      <c r="F29" s="34">
        <v>196</v>
      </c>
      <c r="G29" s="34">
        <v>66</v>
      </c>
      <c r="H29" s="45">
        <v>-235</v>
      </c>
      <c r="I29" s="45">
        <v>-241</v>
      </c>
      <c r="J29" s="34">
        <v>961</v>
      </c>
      <c r="K29" s="34">
        <v>335</v>
      </c>
      <c r="L29" s="34">
        <v>268</v>
      </c>
      <c r="M29" s="34">
        <v>138</v>
      </c>
    </row>
    <row r="30" spans="2:13" x14ac:dyDescent="0.2">
      <c r="B30" s="35" t="s">
        <v>62</v>
      </c>
      <c r="C30" s="31">
        <v>69</v>
      </c>
      <c r="D30" s="31">
        <v>27</v>
      </c>
      <c r="E30" s="31">
        <v>61</v>
      </c>
      <c r="F30" s="31">
        <v>19</v>
      </c>
      <c r="G30" s="31">
        <v>87</v>
      </c>
      <c r="H30" s="31">
        <v>26</v>
      </c>
      <c r="I30" s="31">
        <v>104</v>
      </c>
      <c r="J30" s="31">
        <v>1055</v>
      </c>
      <c r="K30" s="31">
        <v>-336</v>
      </c>
      <c r="L30" s="31">
        <v>31</v>
      </c>
      <c r="M30" s="31">
        <v>-1878</v>
      </c>
    </row>
    <row r="31" spans="2:13" x14ac:dyDescent="0.2">
      <c r="B31" s="37" t="s">
        <v>63</v>
      </c>
      <c r="C31" s="34">
        <v>69</v>
      </c>
      <c r="D31" s="34">
        <v>27</v>
      </c>
      <c r="E31" s="34">
        <v>61</v>
      </c>
      <c r="F31" s="34">
        <v>19</v>
      </c>
      <c r="G31" s="34">
        <v>87</v>
      </c>
      <c r="H31" s="34">
        <v>26</v>
      </c>
      <c r="I31" s="34">
        <v>104</v>
      </c>
      <c r="J31" s="34">
        <v>1055</v>
      </c>
      <c r="K31" s="45">
        <v>-336</v>
      </c>
      <c r="L31" s="34">
        <v>31</v>
      </c>
      <c r="M31" s="45">
        <v>-1878</v>
      </c>
    </row>
    <row r="32" spans="2:13" x14ac:dyDescent="0.2">
      <c r="B32" s="42" t="s">
        <v>64</v>
      </c>
      <c r="C32" s="31">
        <v>5912</v>
      </c>
      <c r="D32" s="31">
        <v>6207</v>
      </c>
      <c r="E32" s="31">
        <v>7601</v>
      </c>
      <c r="F32" s="31">
        <v>6625</v>
      </c>
      <c r="G32" s="31">
        <v>7164</v>
      </c>
      <c r="H32" s="31">
        <v>5387</v>
      </c>
      <c r="I32" s="31">
        <v>7723</v>
      </c>
      <c r="J32" s="31">
        <v>7446</v>
      </c>
      <c r="K32" s="31">
        <v>9733</v>
      </c>
      <c r="L32" s="31">
        <v>9564</v>
      </c>
      <c r="M32" s="31">
        <v>9671</v>
      </c>
    </row>
    <row r="33" spans="2:13" x14ac:dyDescent="0.2">
      <c r="B33" s="43" t="s">
        <v>65</v>
      </c>
      <c r="C33" s="29">
        <v>1827</v>
      </c>
      <c r="D33" s="29">
        <v>1970</v>
      </c>
      <c r="E33" s="29">
        <v>2998</v>
      </c>
      <c r="F33" s="29">
        <v>1604</v>
      </c>
      <c r="G33" s="29">
        <v>1780</v>
      </c>
      <c r="H33" s="29">
        <v>1237</v>
      </c>
      <c r="I33" s="29">
        <v>1339</v>
      </c>
      <c r="J33" s="29">
        <v>1568</v>
      </c>
      <c r="K33" s="29">
        <v>1899</v>
      </c>
      <c r="L33" s="29">
        <v>1961</v>
      </c>
      <c r="M33" s="29">
        <v>2048</v>
      </c>
    </row>
    <row r="34" spans="2:13" x14ac:dyDescent="0.2">
      <c r="B34" s="44" t="s">
        <v>66</v>
      </c>
      <c r="C34" s="40">
        <v>1093</v>
      </c>
      <c r="D34" s="40">
        <v>1056</v>
      </c>
      <c r="E34" s="40">
        <v>1951</v>
      </c>
      <c r="F34" s="40">
        <v>404</v>
      </c>
      <c r="G34" s="40">
        <v>640</v>
      </c>
      <c r="H34" s="40">
        <v>591</v>
      </c>
      <c r="I34" s="40">
        <v>944</v>
      </c>
      <c r="J34" s="40">
        <v>727</v>
      </c>
      <c r="K34" s="40">
        <v>1482</v>
      </c>
      <c r="L34" s="40">
        <v>1554</v>
      </c>
      <c r="M34" s="41"/>
    </row>
    <row r="35" spans="2:13" x14ac:dyDescent="0.2">
      <c r="B35" s="33" t="s">
        <v>67</v>
      </c>
      <c r="C35" s="34">
        <v>736</v>
      </c>
      <c r="D35" s="34">
        <v>1401</v>
      </c>
      <c r="E35" s="34">
        <v>1079</v>
      </c>
      <c r="F35" s="34">
        <v>1112</v>
      </c>
      <c r="G35" s="34">
        <v>1006</v>
      </c>
      <c r="H35" s="34">
        <v>641</v>
      </c>
      <c r="I35" s="34">
        <v>757</v>
      </c>
      <c r="J35" s="34">
        <v>1170</v>
      </c>
      <c r="K35" s="34">
        <v>1052</v>
      </c>
      <c r="L35" s="34">
        <v>937</v>
      </c>
      <c r="M35" s="38"/>
    </row>
    <row r="36" spans="2:13" x14ac:dyDescent="0.2">
      <c r="B36" s="44" t="s">
        <v>68</v>
      </c>
      <c r="C36" s="40">
        <v>3</v>
      </c>
      <c r="D36" s="46">
        <v>-98</v>
      </c>
      <c r="E36" s="46">
        <v>-95</v>
      </c>
      <c r="F36" s="40">
        <v>139</v>
      </c>
      <c r="G36" s="40">
        <v>52</v>
      </c>
      <c r="H36" s="40">
        <v>828</v>
      </c>
      <c r="I36" s="46">
        <v>-170</v>
      </c>
      <c r="J36" s="46">
        <v>-120</v>
      </c>
      <c r="K36" s="46">
        <v>-162</v>
      </c>
      <c r="L36" s="46">
        <v>-89</v>
      </c>
      <c r="M36" s="41"/>
    </row>
    <row r="37" spans="2:13" x14ac:dyDescent="0.2">
      <c r="B37" s="33" t="s">
        <v>69</v>
      </c>
      <c r="C37" s="45">
        <v>-4</v>
      </c>
      <c r="D37" s="45">
        <v>-389</v>
      </c>
      <c r="E37" s="34">
        <v>63</v>
      </c>
      <c r="F37" s="45">
        <v>-52</v>
      </c>
      <c r="G37" s="34">
        <v>81</v>
      </c>
      <c r="H37" s="45">
        <v>-822</v>
      </c>
      <c r="I37" s="45">
        <v>-192</v>
      </c>
      <c r="J37" s="45">
        <v>-209</v>
      </c>
      <c r="K37" s="45">
        <v>-472</v>
      </c>
      <c r="L37" s="45">
        <v>-442</v>
      </c>
      <c r="M37" s="38"/>
    </row>
    <row r="38" spans="2:13" x14ac:dyDescent="0.2">
      <c r="B38" s="41" t="s">
        <v>70</v>
      </c>
      <c r="C38" s="40">
        <v>4084</v>
      </c>
      <c r="D38" s="40">
        <v>4237</v>
      </c>
      <c r="E38" s="40">
        <v>4603</v>
      </c>
      <c r="F38" s="40">
        <v>5022</v>
      </c>
      <c r="G38" s="40">
        <v>5383</v>
      </c>
      <c r="H38" s="40">
        <v>4150</v>
      </c>
      <c r="I38" s="40">
        <v>6384</v>
      </c>
      <c r="J38" s="40">
        <v>5878</v>
      </c>
      <c r="K38" s="40">
        <v>7833</v>
      </c>
      <c r="L38" s="40">
        <v>7602</v>
      </c>
      <c r="M38" s="40">
        <v>7623</v>
      </c>
    </row>
    <row r="39" spans="2:13" x14ac:dyDescent="0.2">
      <c r="B39" s="26" t="s">
        <v>71</v>
      </c>
      <c r="C39" s="29">
        <v>4084</v>
      </c>
      <c r="D39" s="29">
        <v>4237</v>
      </c>
      <c r="E39" s="29">
        <v>4603</v>
      </c>
      <c r="F39" s="29">
        <v>5022</v>
      </c>
      <c r="G39" s="29">
        <v>5383</v>
      </c>
      <c r="H39" s="29">
        <v>4150</v>
      </c>
      <c r="I39" s="29">
        <v>6384</v>
      </c>
      <c r="J39" s="29">
        <v>5878</v>
      </c>
      <c r="K39" s="29">
        <v>7833</v>
      </c>
      <c r="L39" s="29">
        <v>7602</v>
      </c>
      <c r="M39" s="29">
        <v>7623</v>
      </c>
    </row>
    <row r="40" spans="2:13" x14ac:dyDescent="0.2">
      <c r="B40" s="47" t="s">
        <v>72</v>
      </c>
      <c r="C40" s="40">
        <v>4084</v>
      </c>
      <c r="D40" s="40">
        <v>4237</v>
      </c>
      <c r="E40" s="40">
        <v>4603</v>
      </c>
      <c r="F40" s="40">
        <v>5022</v>
      </c>
      <c r="G40" s="40">
        <v>5383</v>
      </c>
      <c r="H40" s="40">
        <v>4150</v>
      </c>
      <c r="I40" s="40">
        <v>6384</v>
      </c>
      <c r="J40" s="40">
        <v>5878</v>
      </c>
      <c r="K40" s="40">
        <v>7833</v>
      </c>
      <c r="L40" s="40">
        <v>7602</v>
      </c>
      <c r="M40" s="40">
        <v>7623</v>
      </c>
    </row>
    <row r="41" spans="2:13" x14ac:dyDescent="0.2">
      <c r="B41" s="26" t="s">
        <v>73</v>
      </c>
      <c r="C41" s="26"/>
      <c r="D41" s="26"/>
      <c r="E41" s="26"/>
      <c r="F41" s="26"/>
      <c r="G41" s="26"/>
      <c r="H41" s="26"/>
      <c r="I41" s="26"/>
      <c r="J41" s="26"/>
      <c r="K41" s="26"/>
      <c r="L41" s="69"/>
      <c r="M41" s="26"/>
    </row>
    <row r="42" spans="2:13" x14ac:dyDescent="0.2">
      <c r="B42" s="47" t="s">
        <v>74</v>
      </c>
      <c r="C42" s="48">
        <v>4.43</v>
      </c>
      <c r="D42" s="48">
        <v>5.15</v>
      </c>
      <c r="E42" s="48">
        <v>5.0599999999999996</v>
      </c>
      <c r="F42" s="48">
        <v>6.55</v>
      </c>
      <c r="G42" s="48">
        <v>7.02</v>
      </c>
      <c r="H42" s="48">
        <v>5.29</v>
      </c>
      <c r="I42" s="48">
        <v>8.17</v>
      </c>
      <c r="J42" s="48">
        <v>7.84</v>
      </c>
      <c r="K42" s="48">
        <v>11.34</v>
      </c>
      <c r="L42" s="48">
        <v>10.76</v>
      </c>
      <c r="M42" s="48">
        <v>12.62</v>
      </c>
    </row>
    <row r="43" spans="2:13" x14ac:dyDescent="0.2">
      <c r="B43" s="43" t="s">
        <v>75</v>
      </c>
      <c r="C43" s="50">
        <v>4.3499999999999996</v>
      </c>
      <c r="D43" s="50">
        <v>4.96</v>
      </c>
      <c r="E43" s="50">
        <v>5.7</v>
      </c>
      <c r="F43" s="50">
        <v>6.45</v>
      </c>
      <c r="G43" s="50">
        <v>7.1</v>
      </c>
      <c r="H43" s="50">
        <v>5.57</v>
      </c>
      <c r="I43" s="50">
        <v>8.5500000000000007</v>
      </c>
      <c r="J43" s="50">
        <v>7.98</v>
      </c>
      <c r="K43" s="50">
        <v>10.76</v>
      </c>
      <c r="L43" s="50">
        <v>10.58</v>
      </c>
      <c r="M43" s="50">
        <v>10.67</v>
      </c>
    </row>
    <row r="44" spans="2:13" x14ac:dyDescent="0.2">
      <c r="B44" s="44" t="s">
        <v>76</v>
      </c>
      <c r="C44" s="48">
        <v>939.4</v>
      </c>
      <c r="D44" s="48">
        <v>854.4</v>
      </c>
      <c r="E44" s="48">
        <v>807.4</v>
      </c>
      <c r="F44" s="48">
        <v>778.2</v>
      </c>
      <c r="G44" s="48">
        <v>758.1</v>
      </c>
      <c r="H44" s="48">
        <v>744.6</v>
      </c>
      <c r="I44" s="48">
        <v>746.3</v>
      </c>
      <c r="J44" s="48">
        <v>736.5</v>
      </c>
      <c r="K44" s="48">
        <v>727.9</v>
      </c>
      <c r="L44" s="48">
        <v>718.3</v>
      </c>
      <c r="M44" s="48">
        <v>712.9</v>
      </c>
    </row>
    <row r="45" spans="2:13" x14ac:dyDescent="0.2">
      <c r="B45" s="33" t="s">
        <v>77</v>
      </c>
      <c r="C45" s="51">
        <v>906.8</v>
      </c>
      <c r="D45" s="51">
        <v>819.3</v>
      </c>
      <c r="E45" s="51">
        <v>794.1</v>
      </c>
      <c r="F45" s="51">
        <v>767.1</v>
      </c>
      <c r="G45" s="51">
        <v>746.3</v>
      </c>
      <c r="H45" s="51">
        <v>745.4</v>
      </c>
      <c r="I45" s="51">
        <v>745.4</v>
      </c>
      <c r="J45" s="51">
        <v>744.8</v>
      </c>
      <c r="K45" s="51">
        <v>731.3</v>
      </c>
      <c r="L45" s="51">
        <v>715.2</v>
      </c>
      <c r="M45" s="51">
        <v>712.1</v>
      </c>
    </row>
    <row r="46" spans="2:13" x14ac:dyDescent="0.2">
      <c r="B46" s="30" t="s">
        <v>78</v>
      </c>
      <c r="C46" s="52">
        <v>4.33</v>
      </c>
      <c r="D46" s="52">
        <v>4.92</v>
      </c>
      <c r="E46" s="52">
        <v>5.65</v>
      </c>
      <c r="F46" s="52">
        <v>6.39</v>
      </c>
      <c r="G46" s="52">
        <v>7.04</v>
      </c>
      <c r="H46" s="52">
        <v>5.53</v>
      </c>
      <c r="I46" s="52">
        <v>8.49</v>
      </c>
      <c r="J46" s="52">
        <v>7.93</v>
      </c>
      <c r="K46" s="52">
        <v>10.7</v>
      </c>
      <c r="L46" s="52">
        <v>10.53</v>
      </c>
      <c r="M46" s="52">
        <v>10.62</v>
      </c>
    </row>
    <row r="47" spans="2:13" x14ac:dyDescent="0.2">
      <c r="B47" s="33" t="s">
        <v>79</v>
      </c>
      <c r="C47" s="51">
        <v>944.6</v>
      </c>
      <c r="D47" s="51">
        <v>861.2</v>
      </c>
      <c r="E47" s="51">
        <v>815.5</v>
      </c>
      <c r="F47" s="51">
        <v>785.6</v>
      </c>
      <c r="G47" s="51">
        <v>764.9</v>
      </c>
      <c r="H47" s="51">
        <v>750.1</v>
      </c>
      <c r="I47" s="51">
        <v>751.8</v>
      </c>
      <c r="J47" s="51">
        <v>741.3</v>
      </c>
      <c r="K47" s="51">
        <v>732.3</v>
      </c>
      <c r="L47" s="51">
        <v>721.9</v>
      </c>
      <c r="M47" s="51">
        <v>715.9</v>
      </c>
    </row>
    <row r="48" spans="2:13" x14ac:dyDescent="0.2">
      <c r="B48" s="44" t="s">
        <v>77</v>
      </c>
      <c r="C48" s="48">
        <v>906.8</v>
      </c>
      <c r="D48" s="48">
        <v>819.3</v>
      </c>
      <c r="E48" s="48">
        <v>794.1</v>
      </c>
      <c r="F48" s="48">
        <v>767.1</v>
      </c>
      <c r="G48" s="48">
        <v>746.3</v>
      </c>
      <c r="H48" s="48">
        <v>745.4</v>
      </c>
      <c r="I48" s="48">
        <v>745.4</v>
      </c>
      <c r="J48" s="48">
        <v>744.8</v>
      </c>
      <c r="K48" s="48">
        <v>731.3</v>
      </c>
      <c r="L48" s="48">
        <v>715.2</v>
      </c>
      <c r="M48" s="48">
        <v>712.1</v>
      </c>
    </row>
    <row r="49" spans="2:13" x14ac:dyDescent="0.2">
      <c r="B49" s="54" t="s">
        <v>80</v>
      </c>
      <c r="C49" s="51">
        <v>88.03</v>
      </c>
      <c r="D49" s="51">
        <v>91.89</v>
      </c>
      <c r="E49" s="51">
        <v>88.7</v>
      </c>
      <c r="F49" s="51">
        <v>90.97</v>
      </c>
      <c r="G49" s="51">
        <v>75.150000000000006</v>
      </c>
      <c r="H49" s="51">
        <v>92.54</v>
      </c>
      <c r="I49" s="51">
        <v>95.26</v>
      </c>
      <c r="J49" s="51">
        <v>93.07</v>
      </c>
      <c r="K49" s="51">
        <v>86.94</v>
      </c>
      <c r="L49" s="51">
        <v>85.76</v>
      </c>
      <c r="M49" s="38"/>
    </row>
    <row r="50" spans="2:13" x14ac:dyDescent="0.2">
      <c r="B50" s="30" t="s">
        <v>81</v>
      </c>
      <c r="C50" s="52">
        <v>3.1</v>
      </c>
      <c r="D50" s="52">
        <v>3.26</v>
      </c>
      <c r="E50" s="52">
        <v>3.4</v>
      </c>
      <c r="F50" s="52">
        <v>3.55</v>
      </c>
      <c r="G50" s="52">
        <v>4.2300000000000004</v>
      </c>
      <c r="H50" s="52">
        <v>4.42</v>
      </c>
      <c r="I50" s="52">
        <v>4.4400000000000004</v>
      </c>
      <c r="J50" s="52">
        <v>5.39</v>
      </c>
      <c r="K50" s="52">
        <v>5.76</v>
      </c>
      <c r="L50" s="52">
        <v>6.27</v>
      </c>
      <c r="M50" s="52">
        <v>6.41</v>
      </c>
    </row>
    <row r="51" spans="2:13" x14ac:dyDescent="0.2">
      <c r="B51" s="33" t="s">
        <v>82</v>
      </c>
      <c r="C51" s="51">
        <v>71.67</v>
      </c>
      <c r="D51" s="51">
        <v>66.36</v>
      </c>
      <c r="E51" s="51">
        <v>60.13</v>
      </c>
      <c r="F51" s="51">
        <v>55.57</v>
      </c>
      <c r="G51" s="51">
        <v>60.05</v>
      </c>
      <c r="H51" s="51">
        <v>79.92</v>
      </c>
      <c r="I51" s="51">
        <v>52.31</v>
      </c>
      <c r="J51" s="51">
        <v>67.92</v>
      </c>
      <c r="K51" s="51">
        <v>53.87</v>
      </c>
      <c r="L51" s="51">
        <v>59.52</v>
      </c>
      <c r="M51" s="51">
        <v>60.38</v>
      </c>
    </row>
    <row r="52" spans="2:13" x14ac:dyDescent="0.2">
      <c r="B52" s="42" t="s">
        <v>83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</row>
    <row r="53" spans="2:13" x14ac:dyDescent="0.2">
      <c r="B53" s="43" t="s">
        <v>83</v>
      </c>
      <c r="C53" s="29">
        <v>8035</v>
      </c>
      <c r="D53" s="29">
        <v>8440</v>
      </c>
      <c r="E53" s="29">
        <v>8647</v>
      </c>
      <c r="F53" s="29">
        <v>8534</v>
      </c>
      <c r="G53" s="29">
        <v>9378</v>
      </c>
      <c r="H53" s="29">
        <v>7819</v>
      </c>
      <c r="I53" s="29">
        <v>9849</v>
      </c>
      <c r="J53" s="29">
        <v>11632</v>
      </c>
      <c r="K53" s="29">
        <v>12669</v>
      </c>
      <c r="L53" s="29">
        <v>12903</v>
      </c>
      <c r="M53" s="29">
        <v>12949</v>
      </c>
    </row>
    <row r="54" spans="2:13" x14ac:dyDescent="0.2">
      <c r="B54" s="44" t="s">
        <v>84</v>
      </c>
      <c r="C54" s="40">
        <v>6632</v>
      </c>
      <c r="D54" s="40">
        <v>7069</v>
      </c>
      <c r="E54" s="40">
        <v>7438</v>
      </c>
      <c r="F54" s="40">
        <v>7278</v>
      </c>
      <c r="G54" s="40">
        <v>7932</v>
      </c>
      <c r="H54" s="40">
        <v>6283</v>
      </c>
      <c r="I54" s="40">
        <v>8269</v>
      </c>
      <c r="J54" s="40">
        <v>9852</v>
      </c>
      <c r="K54" s="40">
        <v>10840</v>
      </c>
      <c r="L54" s="40">
        <v>10964</v>
      </c>
      <c r="M54" s="40">
        <v>10978</v>
      </c>
    </row>
    <row r="55" spans="2:13" x14ac:dyDescent="0.2">
      <c r="B55" s="33" t="s">
        <v>46</v>
      </c>
      <c r="C55" s="34">
        <v>1403</v>
      </c>
      <c r="D55" s="34">
        <v>1371</v>
      </c>
      <c r="E55" s="34">
        <v>1209</v>
      </c>
      <c r="F55" s="34">
        <v>1256</v>
      </c>
      <c r="G55" s="34">
        <v>1446</v>
      </c>
      <c r="H55" s="34">
        <v>1536</v>
      </c>
      <c r="I55" s="34">
        <v>1580</v>
      </c>
      <c r="J55" s="34">
        <v>1780</v>
      </c>
      <c r="K55" s="34">
        <v>1830</v>
      </c>
      <c r="L55" s="34">
        <v>1939</v>
      </c>
      <c r="M55" s="34">
        <v>1971</v>
      </c>
    </row>
    <row r="56" spans="2:13" x14ac:dyDescent="0.2">
      <c r="B56" s="55" t="s">
        <v>85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C5F1-A82A-A74C-8B49-447E88F171C3}">
  <dimension ref="B4:M70"/>
  <sheetViews>
    <sheetView topLeftCell="A39" workbookViewId="0">
      <selection activeCell="L48" sqref="L48"/>
    </sheetView>
  </sheetViews>
  <sheetFormatPr baseColWidth="10" defaultRowHeight="16" x14ac:dyDescent="0.2"/>
  <cols>
    <col min="2" max="2" width="59.5" bestFit="1" customWidth="1"/>
  </cols>
  <sheetData>
    <row r="4" spans="2:13" x14ac:dyDescent="0.2">
      <c r="B4" s="95" t="s">
        <v>18</v>
      </c>
      <c r="C4" s="95"/>
      <c r="D4" s="95"/>
      <c r="E4" s="95"/>
      <c r="F4" s="95"/>
      <c r="G4" s="95"/>
      <c r="H4" s="95"/>
      <c r="I4" s="95"/>
      <c r="J4" s="95"/>
      <c r="K4" s="95"/>
      <c r="L4" s="95"/>
    </row>
    <row r="5" spans="2:13" x14ac:dyDescent="0.2">
      <c r="B5" s="95" t="s">
        <v>28</v>
      </c>
      <c r="C5" s="95"/>
      <c r="D5" s="95"/>
      <c r="E5" s="95"/>
      <c r="F5" s="95"/>
      <c r="G5" s="95"/>
      <c r="H5" s="95"/>
      <c r="I5" s="95"/>
      <c r="J5" s="95"/>
      <c r="K5" s="95"/>
      <c r="L5" s="95"/>
    </row>
    <row r="6" spans="2:13" x14ac:dyDescent="0.2">
      <c r="B6" s="95" t="s">
        <v>29</v>
      </c>
      <c r="C6" s="95"/>
      <c r="D6" s="95"/>
      <c r="E6" s="95"/>
      <c r="F6" s="95"/>
      <c r="G6" s="95"/>
      <c r="H6" s="95"/>
      <c r="I6" s="95"/>
      <c r="J6" s="95"/>
      <c r="K6" s="95"/>
      <c r="L6" s="95"/>
    </row>
    <row r="7" spans="2:13" x14ac:dyDescent="0.2">
      <c r="B7" s="95"/>
      <c r="C7" s="95" t="s">
        <v>30</v>
      </c>
      <c r="D7" s="95" t="s">
        <v>31</v>
      </c>
      <c r="E7" s="95" t="s">
        <v>32</v>
      </c>
      <c r="F7" s="95" t="s">
        <v>33</v>
      </c>
      <c r="G7" s="95" t="s">
        <v>34</v>
      </c>
      <c r="H7" s="95" t="s">
        <v>35</v>
      </c>
      <c r="I7" s="95" t="s">
        <v>36</v>
      </c>
      <c r="J7" s="95" t="s">
        <v>37</v>
      </c>
      <c r="K7" s="95" t="s">
        <v>38</v>
      </c>
      <c r="L7" s="95" t="s">
        <v>39</v>
      </c>
      <c r="M7" s="95"/>
    </row>
    <row r="8" spans="2:13" x14ac:dyDescent="0.2">
      <c r="B8" s="95"/>
      <c r="C8" s="95"/>
      <c r="D8" s="95"/>
      <c r="E8" s="95"/>
      <c r="F8" s="95"/>
      <c r="G8" s="95" t="s">
        <v>42</v>
      </c>
      <c r="H8" s="95"/>
      <c r="I8" s="95"/>
      <c r="J8" s="95"/>
      <c r="K8" s="95"/>
      <c r="L8" s="95"/>
    </row>
    <row r="9" spans="2:13" x14ac:dyDescent="0.2">
      <c r="B9" s="96" t="s">
        <v>145</v>
      </c>
      <c r="C9" s="96"/>
      <c r="D9" s="96"/>
      <c r="E9" s="96"/>
      <c r="F9" s="96"/>
      <c r="G9" s="96"/>
      <c r="H9" s="96"/>
      <c r="I9" s="96"/>
      <c r="J9" s="96"/>
      <c r="K9" s="96"/>
      <c r="L9" s="96"/>
    </row>
    <row r="10" spans="2:13" x14ac:dyDescent="0.2">
      <c r="B10" s="43" t="s">
        <v>146</v>
      </c>
      <c r="C10" s="29">
        <v>7074.9332059999997</v>
      </c>
      <c r="D10" s="29">
        <v>1159.8957330000001</v>
      </c>
      <c r="E10" s="29">
        <v>2051.79882</v>
      </c>
      <c r="F10" s="29">
        <v>757.55586600000004</v>
      </c>
      <c r="G10" s="29">
        <v>800.44544099999996</v>
      </c>
      <c r="H10" s="29">
        <v>2818.928535</v>
      </c>
      <c r="I10" s="29">
        <v>4141.0482430000002</v>
      </c>
      <c r="J10" s="29">
        <v>2420.9885060000001</v>
      </c>
      <c r="K10" s="29">
        <v>4145.4760729999998</v>
      </c>
      <c r="L10" s="29">
        <v>1047.802964</v>
      </c>
    </row>
    <row r="11" spans="2:13" x14ac:dyDescent="0.2">
      <c r="B11" s="97" t="s">
        <v>147</v>
      </c>
      <c r="C11" s="98">
        <v>7074.9332059999997</v>
      </c>
      <c r="D11" s="98">
        <v>1159.8957330000001</v>
      </c>
      <c r="E11" s="98">
        <v>2051.79882</v>
      </c>
      <c r="F11" s="98">
        <v>757.55586600000004</v>
      </c>
      <c r="G11" s="98">
        <v>800.44544099999996</v>
      </c>
      <c r="H11" s="98">
        <v>2818.928535</v>
      </c>
      <c r="I11" s="98">
        <v>4141.0482430000002</v>
      </c>
      <c r="J11" s="98">
        <v>2420.9885060000001</v>
      </c>
      <c r="K11" s="98">
        <v>4145.4760729999998</v>
      </c>
      <c r="L11" s="98">
        <v>1047.802964</v>
      </c>
    </row>
    <row r="12" spans="2:13" x14ac:dyDescent="0.2">
      <c r="B12" s="43" t="s">
        <v>148</v>
      </c>
      <c r="C12" s="29">
        <v>1195.526089</v>
      </c>
      <c r="D12" s="29">
        <v>1397.5823929999999</v>
      </c>
      <c r="E12" s="29">
        <v>1645.736191</v>
      </c>
      <c r="F12" s="29">
        <v>2135.7651810000002</v>
      </c>
      <c r="G12" s="29">
        <v>1981.469949</v>
      </c>
      <c r="H12" s="29">
        <v>1724.735406</v>
      </c>
      <c r="I12" s="29">
        <v>1646.500198</v>
      </c>
      <c r="J12" s="29">
        <v>1981.7287289999999</v>
      </c>
      <c r="K12" s="29">
        <v>2252.2971779999998</v>
      </c>
      <c r="L12" s="29">
        <v>2301.3036529999999</v>
      </c>
    </row>
    <row r="13" spans="2:13" x14ac:dyDescent="0.2">
      <c r="B13" s="99" t="s">
        <v>149</v>
      </c>
      <c r="C13" s="100">
        <v>1195.526089</v>
      </c>
      <c r="D13" s="100">
        <v>1397.5823929999999</v>
      </c>
      <c r="E13" s="100">
        <v>1645.736191</v>
      </c>
      <c r="F13" s="100">
        <v>2135.7651810000002</v>
      </c>
      <c r="G13" s="100">
        <v>1981.469949</v>
      </c>
      <c r="H13" s="100">
        <v>1724.735406</v>
      </c>
      <c r="I13" s="100">
        <v>1646.500198</v>
      </c>
      <c r="J13" s="100">
        <v>1981.7287289999999</v>
      </c>
      <c r="K13" s="100">
        <v>2252.2971779999998</v>
      </c>
      <c r="L13" s="100">
        <v>2301.3036529999999</v>
      </c>
    </row>
    <row r="14" spans="2:13" x14ac:dyDescent="0.2">
      <c r="B14" s="36" t="s">
        <v>150</v>
      </c>
      <c r="C14" s="28">
        <v>1195.526089</v>
      </c>
      <c r="D14" s="28">
        <v>1397.5823929999999</v>
      </c>
      <c r="E14" s="28">
        <v>1645.736191</v>
      </c>
      <c r="F14" s="28">
        <v>2135.7651810000002</v>
      </c>
      <c r="G14" s="28">
        <v>1981.469949</v>
      </c>
      <c r="H14" s="28">
        <v>1724.735406</v>
      </c>
      <c r="I14" s="28">
        <v>1646.500198</v>
      </c>
      <c r="J14" s="28">
        <v>1981.7287289999999</v>
      </c>
      <c r="K14" s="28">
        <v>2252.2971779999998</v>
      </c>
      <c r="L14" s="28">
        <v>2301.3036529999999</v>
      </c>
    </row>
    <row r="15" spans="2:13" x14ac:dyDescent="0.2">
      <c r="B15" s="101" t="s">
        <v>151</v>
      </c>
      <c r="C15" s="100">
        <v>92.147655999999998</v>
      </c>
      <c r="D15" s="100">
        <v>55.842618000000002</v>
      </c>
      <c r="E15" s="100">
        <v>48.967356000000002</v>
      </c>
      <c r="F15" s="100">
        <v>44.701045000000001</v>
      </c>
      <c r="G15" s="100">
        <v>44.721603999999999</v>
      </c>
      <c r="H15" s="100">
        <v>41.763719999999999</v>
      </c>
      <c r="I15" s="100">
        <v>48.892015999999998</v>
      </c>
      <c r="J15" s="100">
        <v>48.723354</v>
      </c>
      <c r="K15" s="100">
        <v>47.797947000000001</v>
      </c>
      <c r="L15" s="100">
        <v>54.080153000000003</v>
      </c>
    </row>
    <row r="16" spans="2:13" x14ac:dyDescent="0.2">
      <c r="B16" s="32" t="s">
        <v>152</v>
      </c>
      <c r="C16" s="28">
        <v>92.147655999999998</v>
      </c>
      <c r="D16" s="28">
        <v>55.842618000000002</v>
      </c>
      <c r="E16" s="28">
        <v>48.967356000000002</v>
      </c>
      <c r="F16" s="28">
        <v>44.701045000000001</v>
      </c>
      <c r="G16" s="28">
        <v>44.721603999999999</v>
      </c>
      <c r="H16" s="28">
        <v>41.763719999999999</v>
      </c>
      <c r="I16" s="28">
        <v>48.892015999999998</v>
      </c>
      <c r="J16" s="28">
        <v>48.723354</v>
      </c>
      <c r="K16" s="25"/>
      <c r="L16" s="25"/>
    </row>
    <row r="17" spans="2:12" x14ac:dyDescent="0.2">
      <c r="B17" s="101" t="s">
        <v>153</v>
      </c>
      <c r="C17" s="100">
        <v>514.31464200000005</v>
      </c>
      <c r="D17" s="100">
        <v>1983.5980480000001</v>
      </c>
      <c r="E17" s="100">
        <v>689.873424</v>
      </c>
      <c r="F17" s="100">
        <v>607.61928899999998</v>
      </c>
      <c r="G17" s="100">
        <v>342.98441300000002</v>
      </c>
      <c r="H17" s="100">
        <v>517.10187699999994</v>
      </c>
      <c r="I17" s="100">
        <v>449.613091</v>
      </c>
      <c r="J17" s="100">
        <v>630.96743600000002</v>
      </c>
      <c r="K17" s="100">
        <v>784.230324</v>
      </c>
      <c r="L17" s="100">
        <v>1037.180077</v>
      </c>
    </row>
    <row r="18" spans="2:12" x14ac:dyDescent="0.2">
      <c r="B18" s="32" t="s">
        <v>154</v>
      </c>
      <c r="C18" s="28">
        <v>514.31464200000005</v>
      </c>
      <c r="D18" s="28">
        <v>1983.5980480000001</v>
      </c>
      <c r="E18" s="28">
        <v>689.873424</v>
      </c>
      <c r="F18" s="28">
        <v>607.61928899999998</v>
      </c>
      <c r="G18" s="28">
        <v>342.98441300000002</v>
      </c>
      <c r="H18" s="28">
        <v>517.10187699999994</v>
      </c>
      <c r="I18" s="28">
        <v>449.613091</v>
      </c>
      <c r="J18" s="28">
        <v>630.96743600000002</v>
      </c>
      <c r="K18" s="28">
        <v>784.230324</v>
      </c>
      <c r="L18" s="28">
        <v>1037.180077</v>
      </c>
    </row>
    <row r="19" spans="2:12" x14ac:dyDescent="0.2">
      <c r="B19" s="102" t="s">
        <v>155</v>
      </c>
      <c r="C19" s="98">
        <v>8876.9215929999991</v>
      </c>
      <c r="D19" s="98">
        <v>4596.9187929999998</v>
      </c>
      <c r="E19" s="98">
        <v>4436.3757919999998</v>
      </c>
      <c r="F19" s="98">
        <v>3545.6413819999998</v>
      </c>
      <c r="G19" s="98">
        <v>3169.6214070000001</v>
      </c>
      <c r="H19" s="98">
        <v>5102.5295390000001</v>
      </c>
      <c r="I19" s="98">
        <v>6286.0535479999999</v>
      </c>
      <c r="J19" s="98">
        <v>5082.4080249999997</v>
      </c>
      <c r="K19" s="98">
        <v>7229.8015210000003</v>
      </c>
      <c r="L19" s="98">
        <v>4440.3668470000002</v>
      </c>
    </row>
    <row r="20" spans="2:12" x14ac:dyDescent="0.2">
      <c r="B20" s="43" t="s">
        <v>156</v>
      </c>
      <c r="C20" s="29">
        <v>21281.045589000001</v>
      </c>
      <c r="D20" s="29">
        <v>20154.160155000001</v>
      </c>
      <c r="E20" s="29">
        <v>18694.453874999999</v>
      </c>
      <c r="F20" s="29">
        <v>19982.241782000001</v>
      </c>
      <c r="G20" s="29">
        <v>33337.372211000002</v>
      </c>
      <c r="H20" s="29">
        <v>31699.481103999999</v>
      </c>
      <c r="I20" s="29">
        <v>33655.118279000002</v>
      </c>
      <c r="J20" s="29">
        <v>34049.472725</v>
      </c>
      <c r="K20" s="29">
        <v>34782.058754999998</v>
      </c>
      <c r="L20" s="29">
        <v>37309.511259999999</v>
      </c>
    </row>
    <row r="21" spans="2:12" x14ac:dyDescent="0.2">
      <c r="B21" s="99" t="s">
        <v>157</v>
      </c>
      <c r="C21" s="100">
        <v>34697.965306999999</v>
      </c>
      <c r="D21" s="100">
        <v>32655.511435</v>
      </c>
      <c r="E21" s="100">
        <v>30501.665846</v>
      </c>
      <c r="F21" s="100">
        <v>32536.062196999999</v>
      </c>
      <c r="G21" s="100">
        <v>46603.207509</v>
      </c>
      <c r="H21" s="100">
        <v>45199.787625999998</v>
      </c>
      <c r="I21" s="100">
        <v>48776.469166000003</v>
      </c>
      <c r="J21" s="100">
        <v>50225.626285999999</v>
      </c>
      <c r="K21" s="100">
        <v>51676.460226000003</v>
      </c>
      <c r="L21" s="100">
        <v>55544.179987000003</v>
      </c>
    </row>
    <row r="22" spans="2:12" x14ac:dyDescent="0.2">
      <c r="B22" s="36" t="s">
        <v>158</v>
      </c>
      <c r="C22" s="28">
        <v>24767.191194999999</v>
      </c>
      <c r="D22" s="28">
        <v>23898.649444999999</v>
      </c>
      <c r="E22" s="28">
        <v>22723.268037000002</v>
      </c>
      <c r="F22" s="28">
        <v>24704.544128000001</v>
      </c>
      <c r="G22" s="28">
        <v>26378.263021999999</v>
      </c>
      <c r="H22" s="28">
        <v>25812.921487</v>
      </c>
      <c r="I22" s="28">
        <v>28094.706668999999</v>
      </c>
      <c r="J22" s="28">
        <v>29445.959051000002</v>
      </c>
      <c r="K22" s="28">
        <v>30219.165388000001</v>
      </c>
      <c r="L22" s="28">
        <v>32741.669765999999</v>
      </c>
    </row>
    <row r="23" spans="2:12" x14ac:dyDescent="0.2">
      <c r="B23" s="103" t="s">
        <v>159</v>
      </c>
      <c r="C23" s="98">
        <v>5139.0039189999998</v>
      </c>
      <c r="D23" s="98">
        <v>5181.3226910000003</v>
      </c>
      <c r="E23" s="98">
        <v>4715.3564740000002</v>
      </c>
      <c r="F23" s="98">
        <v>4829.9872509999996</v>
      </c>
      <c r="G23" s="98">
        <v>5368.7305560000004</v>
      </c>
      <c r="H23" s="98">
        <v>5189.0809669999999</v>
      </c>
      <c r="I23" s="98">
        <v>5704.8892770000002</v>
      </c>
      <c r="J23" s="98">
        <v>6264.9800489999998</v>
      </c>
      <c r="K23" s="98">
        <v>6410.4469490000001</v>
      </c>
      <c r="L23" s="98">
        <v>7004.3455290000002</v>
      </c>
    </row>
    <row r="24" spans="2:12" x14ac:dyDescent="0.2">
      <c r="B24" s="36" t="s">
        <v>160</v>
      </c>
      <c r="C24" s="28">
        <v>4288.410167</v>
      </c>
      <c r="D24" s="28">
        <v>3101.1140700000001</v>
      </c>
      <c r="E24" s="28">
        <v>2636.3258080000001</v>
      </c>
      <c r="F24" s="28">
        <v>2574.1153479999998</v>
      </c>
      <c r="G24" s="28">
        <v>2667.7060350000002</v>
      </c>
      <c r="H24" s="28">
        <v>2549.1398049999998</v>
      </c>
      <c r="I24" s="28">
        <v>2666.1977139999999</v>
      </c>
      <c r="J24" s="28">
        <v>2341.1571650000001</v>
      </c>
      <c r="K24" s="28">
        <v>2437.6047480000002</v>
      </c>
      <c r="L24" s="28">
        <v>2497.344208</v>
      </c>
    </row>
    <row r="25" spans="2:12" x14ac:dyDescent="0.2">
      <c r="B25" s="103" t="s">
        <v>161</v>
      </c>
      <c r="C25" s="98">
        <v>503.360026</v>
      </c>
      <c r="D25" s="98">
        <v>474.425229</v>
      </c>
      <c r="E25" s="98">
        <v>426.71552700000001</v>
      </c>
      <c r="F25" s="98">
        <v>427.41546899999997</v>
      </c>
      <c r="G25" s="98">
        <v>374.52116100000001</v>
      </c>
      <c r="H25" s="98">
        <v>347.34992499999998</v>
      </c>
      <c r="I25" s="98">
        <v>393.68625200000002</v>
      </c>
      <c r="J25" s="98">
        <v>399.625202</v>
      </c>
      <c r="K25" s="98">
        <v>375.141459</v>
      </c>
      <c r="L25" s="98">
        <v>419.12118600000002</v>
      </c>
    </row>
    <row r="26" spans="2:12" x14ac:dyDescent="0.2">
      <c r="B26" s="36" t="s">
        <v>162</v>
      </c>
      <c r="C26" s="25"/>
      <c r="D26" s="25"/>
      <c r="E26" s="25"/>
      <c r="F26" s="25"/>
      <c r="G26" s="28">
        <v>11813.986734</v>
      </c>
      <c r="H26" s="28">
        <v>11301.295441</v>
      </c>
      <c r="I26" s="28">
        <v>11916.989254</v>
      </c>
      <c r="J26" s="28">
        <v>11773.90482</v>
      </c>
      <c r="K26" s="28">
        <v>12234.101682</v>
      </c>
      <c r="L26" s="28">
        <v>12881.699298</v>
      </c>
    </row>
    <row r="27" spans="2:12" x14ac:dyDescent="0.2">
      <c r="B27" s="97" t="s">
        <v>163</v>
      </c>
      <c r="C27" s="98">
        <v>13416.919717000001</v>
      </c>
      <c r="D27" s="98">
        <v>12501.351280000001</v>
      </c>
      <c r="E27" s="98">
        <v>11807.211971000001</v>
      </c>
      <c r="F27" s="98">
        <v>12553.820415</v>
      </c>
      <c r="G27" s="98">
        <v>13265.835298</v>
      </c>
      <c r="H27" s="98">
        <v>13500.306522000001</v>
      </c>
      <c r="I27" s="98">
        <v>15121.350886</v>
      </c>
      <c r="J27" s="98">
        <v>16176.153562</v>
      </c>
      <c r="K27" s="98">
        <v>16894.401471000001</v>
      </c>
      <c r="L27" s="98">
        <v>18234.668727</v>
      </c>
    </row>
    <row r="28" spans="2:12" x14ac:dyDescent="0.2">
      <c r="B28" s="43" t="s">
        <v>164</v>
      </c>
      <c r="C28" s="29">
        <v>863.94181400000002</v>
      </c>
      <c r="D28" s="29">
        <v>692.20195699999999</v>
      </c>
      <c r="E28" s="29">
        <v>1043.5543070000001</v>
      </c>
      <c r="F28" s="29">
        <v>1055.5045130000001</v>
      </c>
      <c r="G28" s="29">
        <v>1310.467717</v>
      </c>
      <c r="H28" s="29">
        <v>1089.4528250000001</v>
      </c>
      <c r="I28" s="29">
        <v>1264.5972730000001</v>
      </c>
      <c r="J28" s="29">
        <v>1024.3148209999999</v>
      </c>
      <c r="K28" s="29">
        <v>1150.7717740000001</v>
      </c>
      <c r="L28" s="29">
        <v>2655.7217989999999</v>
      </c>
    </row>
    <row r="29" spans="2:12" x14ac:dyDescent="0.2">
      <c r="B29" s="97" t="s">
        <v>165</v>
      </c>
      <c r="C29" s="98">
        <v>729.72474799999998</v>
      </c>
      <c r="D29" s="98">
        <v>688.21997099999999</v>
      </c>
      <c r="E29" s="98">
        <v>904.147244</v>
      </c>
      <c r="F29" s="98">
        <v>1052.1803649999999</v>
      </c>
      <c r="G29" s="98">
        <v>1131.670388</v>
      </c>
      <c r="H29" s="98">
        <v>1060.193702</v>
      </c>
      <c r="I29" s="98">
        <v>1056.278593</v>
      </c>
      <c r="J29" s="98">
        <v>997.42327799999998</v>
      </c>
      <c r="K29" s="98">
        <v>977.86632299999997</v>
      </c>
      <c r="L29" s="98">
        <v>2617.0931179999998</v>
      </c>
    </row>
    <row r="30" spans="2:12" x14ac:dyDescent="0.2">
      <c r="B30" s="32" t="s">
        <v>166</v>
      </c>
      <c r="C30" s="28">
        <v>134.21706599999999</v>
      </c>
      <c r="D30" s="28">
        <v>3.981986</v>
      </c>
      <c r="E30" s="28">
        <v>139.40706299999999</v>
      </c>
      <c r="F30" s="28">
        <v>3.3241480000000001</v>
      </c>
      <c r="G30" s="28">
        <v>178.79732899999999</v>
      </c>
      <c r="H30" s="28">
        <v>29.259122999999999</v>
      </c>
      <c r="I30" s="28">
        <v>208.31868</v>
      </c>
      <c r="J30" s="28">
        <v>26.891544</v>
      </c>
      <c r="K30" s="28">
        <v>172.905451</v>
      </c>
      <c r="L30" s="28">
        <v>38.628681</v>
      </c>
    </row>
    <row r="31" spans="2:12" x14ac:dyDescent="0.2">
      <c r="B31" s="101" t="s">
        <v>167</v>
      </c>
      <c r="C31" s="100">
        <v>2316.3950850000001</v>
      </c>
      <c r="D31" s="100">
        <v>2215.2169199999998</v>
      </c>
      <c r="E31" s="100">
        <v>1981.7621770000001</v>
      </c>
      <c r="F31" s="100">
        <v>2039.5398399999999</v>
      </c>
      <c r="G31" s="100">
        <v>2977.99557</v>
      </c>
      <c r="H31" s="100">
        <v>2831.3514030000001</v>
      </c>
      <c r="I31" s="100">
        <v>3145.8846709999998</v>
      </c>
      <c r="J31" s="100">
        <v>3527.4771380000002</v>
      </c>
      <c r="K31" s="100">
        <v>3509.1659089999998</v>
      </c>
      <c r="L31" s="100">
        <v>3913.085356</v>
      </c>
    </row>
    <row r="32" spans="2:12" x14ac:dyDescent="0.2">
      <c r="B32" s="32" t="s">
        <v>168</v>
      </c>
      <c r="C32" s="28">
        <v>2316.3950850000001</v>
      </c>
      <c r="D32" s="28">
        <v>2215.2169199999998</v>
      </c>
      <c r="E32" s="28">
        <v>1981.7621770000001</v>
      </c>
      <c r="F32" s="28">
        <v>2039.5398399999999</v>
      </c>
      <c r="G32" s="28">
        <v>2385.211601</v>
      </c>
      <c r="H32" s="28">
        <v>2266.4378299999998</v>
      </c>
      <c r="I32" s="28">
        <v>2446.799188</v>
      </c>
      <c r="J32" s="28">
        <v>2717.638774</v>
      </c>
      <c r="K32" s="28">
        <v>2752.3650889999999</v>
      </c>
      <c r="L32" s="28">
        <v>3037.1800210000001</v>
      </c>
    </row>
    <row r="33" spans="2:12" x14ac:dyDescent="0.2">
      <c r="B33" s="97" t="s">
        <v>169</v>
      </c>
      <c r="C33" s="98">
        <v>0</v>
      </c>
      <c r="D33" s="98">
        <v>0</v>
      </c>
      <c r="E33" s="98">
        <v>0</v>
      </c>
      <c r="F33" s="98">
        <v>0</v>
      </c>
      <c r="G33" s="98">
        <v>592.78396899999996</v>
      </c>
      <c r="H33" s="98">
        <v>564.91357300000004</v>
      </c>
      <c r="I33" s="98">
        <v>699.08548199999996</v>
      </c>
      <c r="J33" s="98">
        <v>809.83836399999996</v>
      </c>
      <c r="K33" s="98">
        <v>756.80082000000004</v>
      </c>
      <c r="L33" s="98">
        <v>875.90533500000004</v>
      </c>
    </row>
    <row r="34" spans="2:12" x14ac:dyDescent="0.2">
      <c r="B34" s="53" t="s">
        <v>170</v>
      </c>
      <c r="C34" s="28">
        <v>490.472241</v>
      </c>
      <c r="D34" s="28">
        <v>762.26595499999996</v>
      </c>
      <c r="E34" s="28">
        <v>722.76816099999996</v>
      </c>
      <c r="F34" s="28">
        <v>1066.7016430000001</v>
      </c>
      <c r="G34" s="28">
        <v>1014.6102529999999</v>
      </c>
      <c r="H34" s="28">
        <v>1745.494672</v>
      </c>
      <c r="I34" s="28">
        <v>2072.6345679999999</v>
      </c>
      <c r="J34" s="28">
        <v>2320.9182329999999</v>
      </c>
      <c r="K34" s="28">
        <v>2736.522966</v>
      </c>
      <c r="L34" s="28">
        <v>3421.535394</v>
      </c>
    </row>
    <row r="35" spans="2:12" x14ac:dyDescent="0.2">
      <c r="B35" s="101" t="s">
        <v>171</v>
      </c>
      <c r="C35" s="100">
        <v>1095.92193</v>
      </c>
      <c r="D35" s="100">
        <v>992.74712</v>
      </c>
      <c r="E35" s="100">
        <v>1272.06863</v>
      </c>
      <c r="F35" s="100">
        <v>1012.8154500000001</v>
      </c>
      <c r="G35" s="100">
        <v>515.81291999999996</v>
      </c>
      <c r="H35" s="100">
        <v>543.25527999999997</v>
      </c>
      <c r="I35" s="100">
        <v>932.64158999999995</v>
      </c>
      <c r="J35" s="100">
        <v>1252.9397899999999</v>
      </c>
      <c r="K35" s="100">
        <v>1419.36364</v>
      </c>
      <c r="L35" s="100">
        <v>1549.9758099999999</v>
      </c>
    </row>
    <row r="36" spans="2:12" x14ac:dyDescent="0.2">
      <c r="B36" s="32" t="s">
        <v>172</v>
      </c>
      <c r="C36" s="28">
        <v>1095.921928</v>
      </c>
      <c r="D36" s="28">
        <v>992.74711600000001</v>
      </c>
      <c r="E36" s="28">
        <v>1272.0686330000001</v>
      </c>
      <c r="F36" s="28">
        <v>1012.8154520000001</v>
      </c>
      <c r="G36" s="28">
        <v>515.81292199999996</v>
      </c>
      <c r="H36" s="28">
        <v>543.25528299999996</v>
      </c>
      <c r="I36" s="28">
        <v>932.64158799999996</v>
      </c>
      <c r="J36" s="28">
        <v>1252.9397899999999</v>
      </c>
      <c r="K36" s="28">
        <v>1419.363644</v>
      </c>
      <c r="L36" s="28">
        <v>1549.975813</v>
      </c>
    </row>
    <row r="37" spans="2:12" x14ac:dyDescent="0.2">
      <c r="B37" s="102" t="s">
        <v>173</v>
      </c>
      <c r="C37" s="98">
        <v>34924.698252000002</v>
      </c>
      <c r="D37" s="98">
        <v>29413.510896</v>
      </c>
      <c r="E37" s="98">
        <v>28150.982945</v>
      </c>
      <c r="F37" s="98">
        <v>28702.444613</v>
      </c>
      <c r="G37" s="98">
        <v>42325.880080000003</v>
      </c>
      <c r="H37" s="98">
        <v>43011.564826000002</v>
      </c>
      <c r="I37" s="98">
        <v>47356.929927999998</v>
      </c>
      <c r="J37" s="98">
        <v>47257.530733</v>
      </c>
      <c r="K37" s="98">
        <v>50827.684568999997</v>
      </c>
      <c r="L37" s="98">
        <v>53290.196468000002</v>
      </c>
    </row>
    <row r="38" spans="2:12" x14ac:dyDescent="0.2">
      <c r="B38" s="26" t="s">
        <v>174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spans="2:12" x14ac:dyDescent="0.2">
      <c r="B39" s="101" t="s">
        <v>175</v>
      </c>
      <c r="C39" s="96"/>
      <c r="D39" s="96"/>
      <c r="E39" s="96"/>
      <c r="F39" s="96"/>
      <c r="G39" s="96"/>
      <c r="H39" s="96"/>
      <c r="I39" s="96"/>
      <c r="J39" s="96"/>
      <c r="K39" s="96"/>
      <c r="L39" s="96"/>
    </row>
    <row r="40" spans="2:12" x14ac:dyDescent="0.2">
      <c r="B40" s="32" t="s">
        <v>176</v>
      </c>
      <c r="C40" s="28">
        <v>0</v>
      </c>
      <c r="D40" s="28">
        <v>73.192701</v>
      </c>
      <c r="E40" s="28">
        <v>0</v>
      </c>
      <c r="F40" s="28">
        <v>0</v>
      </c>
      <c r="G40" s="28">
        <v>605.87973799999997</v>
      </c>
      <c r="H40" s="28">
        <v>2407.012389</v>
      </c>
      <c r="I40" s="28">
        <v>620.38340600000004</v>
      </c>
      <c r="J40" s="28">
        <v>619.44248800000003</v>
      </c>
      <c r="K40" s="28">
        <v>2607.6133530000002</v>
      </c>
      <c r="L40" s="28">
        <v>614.19602299999997</v>
      </c>
    </row>
    <row r="41" spans="2:12" x14ac:dyDescent="0.2">
      <c r="B41" s="97" t="s">
        <v>177</v>
      </c>
      <c r="C41" s="98">
        <v>805.21034099999997</v>
      </c>
      <c r="D41" s="98">
        <v>716.75753999999995</v>
      </c>
      <c r="E41" s="98">
        <v>770.15323799999999</v>
      </c>
      <c r="F41" s="98">
        <v>1056.641721</v>
      </c>
      <c r="G41" s="98">
        <v>880.35635500000001</v>
      </c>
      <c r="H41" s="98">
        <v>605.85999900000002</v>
      </c>
      <c r="I41" s="98">
        <v>885.33240699999999</v>
      </c>
      <c r="J41" s="98">
        <v>918.43522499999995</v>
      </c>
      <c r="K41" s="98">
        <v>998.41581900000006</v>
      </c>
      <c r="L41" s="98">
        <v>993.72281099999998</v>
      </c>
    </row>
    <row r="42" spans="2:12" x14ac:dyDescent="0.2">
      <c r="B42" s="32" t="s">
        <v>178</v>
      </c>
      <c r="C42" s="28">
        <v>142.50207</v>
      </c>
      <c r="D42" s="28">
        <v>253.33017799999999</v>
      </c>
      <c r="E42" s="28">
        <v>221.35243399999999</v>
      </c>
      <c r="F42" s="28">
        <v>199.711321</v>
      </c>
      <c r="G42" s="28">
        <v>295.50111600000002</v>
      </c>
      <c r="H42" s="28">
        <v>605.69654000000003</v>
      </c>
      <c r="I42" s="28">
        <v>317.18255799999997</v>
      </c>
      <c r="J42" s="28">
        <v>257.57788499999998</v>
      </c>
      <c r="K42" s="28">
        <v>638.30174499999998</v>
      </c>
      <c r="L42" s="28">
        <v>348.62384300000002</v>
      </c>
    </row>
    <row r="43" spans="2:12" x14ac:dyDescent="0.2">
      <c r="B43" s="99" t="s">
        <v>179</v>
      </c>
      <c r="C43" s="100">
        <v>1768.2960370000001</v>
      </c>
      <c r="D43" s="100">
        <v>2244.9870080000001</v>
      </c>
      <c r="E43" s="100">
        <v>1415.722865</v>
      </c>
      <c r="F43" s="100">
        <v>1344.7928790000001</v>
      </c>
      <c r="G43" s="100">
        <v>1444.0980070000001</v>
      </c>
      <c r="H43" s="100">
        <v>1433.2883859999999</v>
      </c>
      <c r="I43" s="100">
        <v>1712.099917</v>
      </c>
      <c r="J43" s="100">
        <v>1767.064875</v>
      </c>
      <c r="K43" s="100">
        <v>1964.875814</v>
      </c>
      <c r="L43" s="100">
        <v>1772.090727</v>
      </c>
    </row>
    <row r="44" spans="2:12" x14ac:dyDescent="0.2">
      <c r="B44" s="36" t="s">
        <v>180</v>
      </c>
      <c r="C44" s="28">
        <v>1243.487057</v>
      </c>
      <c r="D44" s="28">
        <v>1095.4254780000001</v>
      </c>
      <c r="E44" s="28">
        <v>923.05130799999995</v>
      </c>
      <c r="F44" s="28">
        <v>859.99211500000001</v>
      </c>
      <c r="G44" s="28">
        <v>913.67484000000002</v>
      </c>
      <c r="H44" s="28">
        <v>862.89894400000003</v>
      </c>
      <c r="I44" s="28">
        <v>1181.586368</v>
      </c>
      <c r="J44" s="28">
        <v>1141.1571719999999</v>
      </c>
      <c r="K44" s="28">
        <v>1256.416099</v>
      </c>
      <c r="L44" s="28">
        <v>1083.534494</v>
      </c>
    </row>
    <row r="45" spans="2:12" x14ac:dyDescent="0.2">
      <c r="B45" s="103" t="s">
        <v>181</v>
      </c>
      <c r="C45" s="98">
        <v>524.80898100000002</v>
      </c>
      <c r="D45" s="98">
        <v>1149.5615299999999</v>
      </c>
      <c r="E45" s="98">
        <v>492.67155700000001</v>
      </c>
      <c r="F45" s="98">
        <v>484.80076300000002</v>
      </c>
      <c r="G45" s="98">
        <v>530.42316700000003</v>
      </c>
      <c r="H45" s="98">
        <v>570.38944200000003</v>
      </c>
      <c r="I45" s="98">
        <v>530.51354900000001</v>
      </c>
      <c r="J45" s="98">
        <v>625.90770299999997</v>
      </c>
      <c r="K45" s="98">
        <v>708.45971499999996</v>
      </c>
      <c r="L45" s="98">
        <v>688.55623400000002</v>
      </c>
    </row>
    <row r="46" spans="2:12" x14ac:dyDescent="0.2">
      <c r="B46" s="32" t="s">
        <v>182</v>
      </c>
      <c r="C46" s="28">
        <v>2716.008448</v>
      </c>
      <c r="D46" s="28">
        <v>3288.2674270000002</v>
      </c>
      <c r="E46" s="28">
        <v>2407.228537</v>
      </c>
      <c r="F46" s="28">
        <v>2601.1459209999998</v>
      </c>
      <c r="G46" s="28">
        <v>3225.8352159999999</v>
      </c>
      <c r="H46" s="28">
        <v>5051.8573139999999</v>
      </c>
      <c r="I46" s="28">
        <v>3534.9982879999998</v>
      </c>
      <c r="J46" s="28">
        <v>3562.5204739999999</v>
      </c>
      <c r="K46" s="28">
        <v>6209.2067310000002</v>
      </c>
      <c r="L46" s="28">
        <v>3728.633405</v>
      </c>
    </row>
    <row r="47" spans="2:12" x14ac:dyDescent="0.2">
      <c r="B47" s="101" t="s">
        <v>183</v>
      </c>
      <c r="C47" s="96"/>
      <c r="D47" s="96"/>
      <c r="E47" s="96"/>
      <c r="F47" s="96"/>
      <c r="G47" s="96"/>
      <c r="H47" s="96"/>
      <c r="I47" s="96"/>
      <c r="J47" s="96"/>
      <c r="K47" s="96"/>
      <c r="L47" s="96"/>
    </row>
    <row r="48" spans="2:12" x14ac:dyDescent="0.2">
      <c r="B48" s="104" t="s">
        <v>184</v>
      </c>
      <c r="C48" s="29">
        <v>22205.7441</v>
      </c>
      <c r="D48" s="29">
        <v>24535.198402999999</v>
      </c>
      <c r="E48" s="29">
        <v>24597.268721</v>
      </c>
      <c r="F48" s="29">
        <v>27183.921255000001</v>
      </c>
      <c r="G48" s="29">
        <v>41760.267603</v>
      </c>
      <c r="H48" s="29">
        <v>39653.549206000003</v>
      </c>
      <c r="I48" s="29">
        <v>42774.886251000004</v>
      </c>
      <c r="J48" s="29">
        <v>45010.915614999998</v>
      </c>
      <c r="K48" s="29">
        <v>45453.855585999998</v>
      </c>
      <c r="L48" s="29">
        <v>49552.871610000002</v>
      </c>
    </row>
    <row r="49" spans="2:12" x14ac:dyDescent="0.2">
      <c r="B49" s="103" t="s">
        <v>185</v>
      </c>
      <c r="C49" s="98">
        <v>22205.7441</v>
      </c>
      <c r="D49" s="98">
        <v>24535.198402999999</v>
      </c>
      <c r="E49" s="98">
        <v>24597.268721</v>
      </c>
      <c r="F49" s="98">
        <v>27183.921255000001</v>
      </c>
      <c r="G49" s="98">
        <v>30394.744124000001</v>
      </c>
      <c r="H49" s="98">
        <v>28766.131417000001</v>
      </c>
      <c r="I49" s="98">
        <v>31324.921273</v>
      </c>
      <c r="J49" s="98">
        <v>33641.133538000002</v>
      </c>
      <c r="K49" s="98">
        <v>33633.188036</v>
      </c>
      <c r="L49" s="98">
        <v>37106.710685999999</v>
      </c>
    </row>
    <row r="50" spans="2:12" x14ac:dyDescent="0.2">
      <c r="B50" s="36" t="s">
        <v>186</v>
      </c>
      <c r="C50" s="28">
        <v>0</v>
      </c>
      <c r="D50" s="28">
        <v>0</v>
      </c>
      <c r="E50" s="28">
        <v>0</v>
      </c>
      <c r="F50" s="28">
        <v>0</v>
      </c>
      <c r="G50" s="28">
        <v>11365.523477999999</v>
      </c>
      <c r="H50" s="28">
        <v>10887.417788999999</v>
      </c>
      <c r="I50" s="28">
        <v>11449.964978</v>
      </c>
      <c r="J50" s="28">
        <v>11369.782077</v>
      </c>
      <c r="K50" s="28">
        <v>11820.66755</v>
      </c>
      <c r="L50" s="28">
        <v>12446.160922999999</v>
      </c>
    </row>
    <row r="51" spans="2:12" x14ac:dyDescent="0.2">
      <c r="B51" s="97" t="s">
        <v>187</v>
      </c>
      <c r="C51" s="98">
        <v>1568.9036060000001</v>
      </c>
      <c r="D51" s="98">
        <v>1722.7779439999999</v>
      </c>
      <c r="E51" s="98">
        <v>932.21186799999998</v>
      </c>
      <c r="F51" s="98">
        <v>1063.2900179999999</v>
      </c>
      <c r="G51" s="98">
        <v>1174.253907</v>
      </c>
      <c r="H51" s="98">
        <v>1655.5106089999999</v>
      </c>
      <c r="I51" s="98">
        <v>1825.1846880000001</v>
      </c>
      <c r="J51" s="98">
        <v>1871.632689</v>
      </c>
      <c r="K51" s="98">
        <v>1521.658492</v>
      </c>
      <c r="L51" s="98">
        <v>1848.382372</v>
      </c>
    </row>
    <row r="52" spans="2:12" x14ac:dyDescent="0.2">
      <c r="B52" s="104" t="s">
        <v>188</v>
      </c>
      <c r="C52" s="29">
        <v>1909.23316</v>
      </c>
      <c r="D52" s="29">
        <v>1957.1462799999999</v>
      </c>
      <c r="E52" s="29">
        <v>2935.7928299999999</v>
      </c>
      <c r="F52" s="29">
        <v>3328.7844500000001</v>
      </c>
      <c r="G52" s="29">
        <v>3479.8218499999998</v>
      </c>
      <c r="H52" s="29">
        <v>3045.8910599999999</v>
      </c>
      <c r="I52" s="29">
        <v>3267.7629700000002</v>
      </c>
      <c r="J52" s="29">
        <v>2437.5731900000001</v>
      </c>
      <c r="K52" s="29">
        <v>1903.7704799999999</v>
      </c>
      <c r="L52" s="29">
        <v>1827.1366</v>
      </c>
    </row>
    <row r="53" spans="2:12" x14ac:dyDescent="0.2">
      <c r="B53" s="103" t="s">
        <v>189</v>
      </c>
      <c r="C53" s="98">
        <v>1909.233162</v>
      </c>
      <c r="D53" s="98">
        <v>1957.1462819999999</v>
      </c>
      <c r="E53" s="98">
        <v>2935.792833</v>
      </c>
      <c r="F53" s="98">
        <v>2779.6001900000001</v>
      </c>
      <c r="G53" s="98">
        <v>2891.3140549999998</v>
      </c>
      <c r="H53" s="98">
        <v>2472.1507160000001</v>
      </c>
      <c r="I53" s="98">
        <v>2618.5367919999999</v>
      </c>
      <c r="J53" s="98">
        <v>1727.523999</v>
      </c>
      <c r="K53" s="98">
        <v>1188.5212879999999</v>
      </c>
      <c r="L53" s="98">
        <v>1075.8087579999999</v>
      </c>
    </row>
    <row r="54" spans="2:12" x14ac:dyDescent="0.2">
      <c r="B54" s="36" t="s">
        <v>190</v>
      </c>
      <c r="C54" s="25"/>
      <c r="D54" s="25"/>
      <c r="E54" s="25"/>
      <c r="F54" s="28">
        <v>549.18426399999998</v>
      </c>
      <c r="G54" s="28">
        <v>588.50779999999997</v>
      </c>
      <c r="H54" s="28">
        <v>573.74034700000004</v>
      </c>
      <c r="I54" s="28">
        <v>649.226178</v>
      </c>
      <c r="J54" s="28">
        <v>710.04918699999996</v>
      </c>
      <c r="K54" s="28">
        <v>715.24919599999998</v>
      </c>
      <c r="L54" s="28">
        <v>751.32784000000004</v>
      </c>
    </row>
    <row r="55" spans="2:12" x14ac:dyDescent="0.2">
      <c r="B55" s="97" t="s">
        <v>191</v>
      </c>
      <c r="C55" s="98">
        <v>28399.889317000001</v>
      </c>
      <c r="D55" s="98">
        <v>31503.390056</v>
      </c>
      <c r="E55" s="98">
        <v>30872.501959000001</v>
      </c>
      <c r="F55" s="98">
        <v>34177.141647999997</v>
      </c>
      <c r="G55" s="98">
        <v>49640.178581</v>
      </c>
      <c r="H55" s="98">
        <v>49406.808191999997</v>
      </c>
      <c r="I55" s="98">
        <v>51402.832197000003</v>
      </c>
      <c r="J55" s="98">
        <v>52882.641964000002</v>
      </c>
      <c r="K55" s="98">
        <v>55088.491292999999</v>
      </c>
      <c r="L55" s="98">
        <v>56957.023983999999</v>
      </c>
    </row>
    <row r="56" spans="2:12" x14ac:dyDescent="0.2">
      <c r="B56" s="43" t="s">
        <v>192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spans="2:12" x14ac:dyDescent="0.2">
      <c r="B57" s="99" t="s">
        <v>193</v>
      </c>
      <c r="C57" s="100">
        <v>6524.808935</v>
      </c>
      <c r="D57" s="100">
        <v>-2089.87916</v>
      </c>
      <c r="E57" s="100">
        <v>-2721.5190130000001</v>
      </c>
      <c r="F57" s="100">
        <v>-5474.6970350000001</v>
      </c>
      <c r="G57" s="100">
        <v>-7314.2985010000002</v>
      </c>
      <c r="H57" s="100">
        <v>-6395.243367</v>
      </c>
      <c r="I57" s="100">
        <v>-4045.90227</v>
      </c>
      <c r="J57" s="100">
        <v>-5625.1112309999999</v>
      </c>
      <c r="K57" s="100">
        <v>-4260.806724</v>
      </c>
      <c r="L57" s="100">
        <v>-3666.8275159999998</v>
      </c>
    </row>
    <row r="58" spans="2:12" x14ac:dyDescent="0.2">
      <c r="B58" s="36" t="s">
        <v>194</v>
      </c>
      <c r="C58" s="28">
        <v>15.281230000000001</v>
      </c>
      <c r="D58" s="28">
        <v>15.738327</v>
      </c>
      <c r="E58" s="28">
        <v>13.824116999999999</v>
      </c>
      <c r="F58" s="28">
        <v>14.521279</v>
      </c>
      <c r="G58" s="28">
        <v>14.788418999999999</v>
      </c>
      <c r="H58" s="28">
        <v>13.567079</v>
      </c>
      <c r="I58" s="28">
        <v>14.597257000000001</v>
      </c>
      <c r="J58" s="28">
        <v>15.553993999999999</v>
      </c>
      <c r="K58" s="28">
        <v>15.027385000000001</v>
      </c>
      <c r="L58" s="28">
        <v>16.417189</v>
      </c>
    </row>
    <row r="59" spans="2:12" x14ac:dyDescent="0.2">
      <c r="B59" s="103" t="s">
        <v>195</v>
      </c>
      <c r="C59" s="98">
        <v>6014.3606280000004</v>
      </c>
      <c r="D59" s="98">
        <v>6407.1108169999998</v>
      </c>
      <c r="E59" s="98">
        <v>5889.740229</v>
      </c>
      <c r="F59" s="98">
        <v>6452.3464990000002</v>
      </c>
      <c r="G59" s="98">
        <v>6818.6192099999998</v>
      </c>
      <c r="H59" s="98">
        <v>6459.5644000000002</v>
      </c>
      <c r="I59" s="98">
        <v>7238.4805740000002</v>
      </c>
      <c r="J59" s="98">
        <v>8008.526535</v>
      </c>
      <c r="K59" s="98">
        <v>8050.4234630000001</v>
      </c>
      <c r="L59" s="98">
        <v>8962.819641</v>
      </c>
    </row>
    <row r="60" spans="2:12" x14ac:dyDescent="0.2">
      <c r="B60" s="36" t="s">
        <v>196</v>
      </c>
      <c r="C60" s="28">
        <v>41051.734935</v>
      </c>
      <c r="D60" s="28">
        <v>43823.371338999998</v>
      </c>
      <c r="E60" s="28">
        <v>40244.670601999998</v>
      </c>
      <c r="F60" s="28">
        <v>44164.807174000001</v>
      </c>
      <c r="G60" s="28">
        <v>47154.120653999998</v>
      </c>
      <c r="H60" s="28">
        <v>44058.763552999997</v>
      </c>
      <c r="I60" s="28">
        <v>50593.300002000004</v>
      </c>
      <c r="J60" s="28">
        <v>55791.894697000003</v>
      </c>
      <c r="K60" s="28">
        <v>57466.077028</v>
      </c>
      <c r="L60" s="28">
        <v>64542.731158000002</v>
      </c>
    </row>
    <row r="61" spans="2:12" x14ac:dyDescent="0.2">
      <c r="B61" s="103" t="s">
        <v>197</v>
      </c>
      <c r="C61" s="105">
        <v>-2513.0258480000002</v>
      </c>
      <c r="D61" s="105">
        <v>-2757.7151530000001</v>
      </c>
      <c r="E61" s="105">
        <v>-1641.9886899999999</v>
      </c>
      <c r="F61" s="105">
        <v>-2121.593813</v>
      </c>
      <c r="G61" s="105">
        <v>-2005.3452279999999</v>
      </c>
      <c r="H61" s="105">
        <v>-1788.157416</v>
      </c>
      <c r="I61" s="105">
        <v>-2083.5385430000001</v>
      </c>
      <c r="J61" s="105">
        <v>-2079.2691359999999</v>
      </c>
      <c r="K61" s="105">
        <v>-1885.6652019999999</v>
      </c>
      <c r="L61" s="105">
        <v>-2200.869083</v>
      </c>
    </row>
    <row r="62" spans="2:12" x14ac:dyDescent="0.2">
      <c r="B62" s="36" t="s">
        <v>198</v>
      </c>
      <c r="C62" s="45">
        <v>-137.99134599999999</v>
      </c>
      <c r="D62" s="45">
        <v>-174.638543</v>
      </c>
      <c r="E62" s="45">
        <v>-172.135245</v>
      </c>
      <c r="F62" s="45">
        <v>-161.13370699999999</v>
      </c>
      <c r="G62" s="45">
        <v>-206.41425599999999</v>
      </c>
      <c r="H62" s="45">
        <v>-326.018553</v>
      </c>
      <c r="I62" s="45">
        <v>-179.651779</v>
      </c>
      <c r="J62" s="45">
        <v>-250.64417700000001</v>
      </c>
      <c r="K62" s="45">
        <v>-337.663524</v>
      </c>
      <c r="L62" s="45">
        <v>-264.60646300000002</v>
      </c>
    </row>
    <row r="63" spans="2:12" x14ac:dyDescent="0.2">
      <c r="B63" s="103" t="s">
        <v>199</v>
      </c>
      <c r="C63" s="105">
        <v>-37905.550664000002</v>
      </c>
      <c r="D63" s="105">
        <v>-49403.745947000003</v>
      </c>
      <c r="E63" s="105">
        <v>-47055.630026999999</v>
      </c>
      <c r="F63" s="105">
        <v>-53823.644466999998</v>
      </c>
      <c r="G63" s="105">
        <v>-59090.067299000002</v>
      </c>
      <c r="H63" s="105">
        <v>-54812.96243</v>
      </c>
      <c r="I63" s="105">
        <v>-59629.089781000002</v>
      </c>
      <c r="J63" s="105">
        <v>-67111.173144</v>
      </c>
      <c r="K63" s="105">
        <v>-67569.005873999995</v>
      </c>
      <c r="L63" s="105">
        <v>-74722.354240999994</v>
      </c>
    </row>
    <row r="64" spans="2:12" x14ac:dyDescent="0.2">
      <c r="B64" s="32" t="s">
        <v>200</v>
      </c>
      <c r="C64" s="28">
        <v>6524.808935</v>
      </c>
      <c r="D64" s="45">
        <v>-2089.87916</v>
      </c>
      <c r="E64" s="45">
        <v>-2721.5190130000001</v>
      </c>
      <c r="F64" s="45">
        <v>-5474.6970350000001</v>
      </c>
      <c r="G64" s="45">
        <v>-7314.2985010000002</v>
      </c>
      <c r="H64" s="45">
        <v>-6395.243367</v>
      </c>
      <c r="I64" s="45">
        <v>-4045.90227</v>
      </c>
      <c r="J64" s="45">
        <v>-5625.1112309999999</v>
      </c>
      <c r="K64" s="45">
        <v>-4260.806724</v>
      </c>
      <c r="L64" s="45">
        <v>-3666.8275159999998</v>
      </c>
    </row>
    <row r="65" spans="2:12" x14ac:dyDescent="0.2">
      <c r="B65" s="97" t="s">
        <v>201</v>
      </c>
      <c r="C65" s="98">
        <v>6524.808935</v>
      </c>
      <c r="D65" s="105">
        <v>-2089.87916</v>
      </c>
      <c r="E65" s="105">
        <v>-2721.5190130000001</v>
      </c>
      <c r="F65" s="105">
        <v>-5474.6970350000001</v>
      </c>
      <c r="G65" s="105">
        <v>-7314.2985010000002</v>
      </c>
      <c r="H65" s="105">
        <v>-6395.243367</v>
      </c>
      <c r="I65" s="105">
        <v>-4045.90227</v>
      </c>
      <c r="J65" s="105">
        <v>-5625.1112309999999</v>
      </c>
      <c r="K65" s="105">
        <v>-4260.806724</v>
      </c>
      <c r="L65" s="105">
        <v>-3666.8275159999998</v>
      </c>
    </row>
    <row r="66" spans="2:12" x14ac:dyDescent="0.2">
      <c r="B66" s="53" t="s">
        <v>202</v>
      </c>
      <c r="C66" s="28">
        <v>34924.698252000002</v>
      </c>
      <c r="D66" s="28">
        <v>29413.510896</v>
      </c>
      <c r="E66" s="28">
        <v>28150.982945</v>
      </c>
      <c r="F66" s="28">
        <v>28702.444613</v>
      </c>
      <c r="G66" s="28">
        <v>42325.880080000003</v>
      </c>
      <c r="H66" s="28">
        <v>43011.564826000002</v>
      </c>
      <c r="I66" s="28">
        <v>47356.929927999998</v>
      </c>
      <c r="J66" s="28">
        <v>47257.530733</v>
      </c>
      <c r="K66" s="28">
        <v>50827.684568999997</v>
      </c>
      <c r="L66" s="28">
        <v>53290.196468000002</v>
      </c>
    </row>
    <row r="67" spans="2:12" x14ac:dyDescent="0.2">
      <c r="B67" s="96" t="s">
        <v>73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</row>
    <row r="68" spans="2:12" x14ac:dyDescent="0.2">
      <c r="B68" s="53" t="s">
        <v>203</v>
      </c>
      <c r="C68" s="49">
        <v>7.1954200000000004</v>
      </c>
      <c r="D68" s="106">
        <v>-2.5508099999999998</v>
      </c>
      <c r="E68" s="106">
        <v>-3.4271699999999998</v>
      </c>
      <c r="F68" s="106">
        <v>-7.1368799999999997</v>
      </c>
      <c r="G68" s="106">
        <v>-9.8007500000000007</v>
      </c>
      <c r="H68" s="106">
        <v>-8.5796100000000006</v>
      </c>
      <c r="I68" s="106">
        <v>-5.4278300000000002</v>
      </c>
      <c r="J68" s="106">
        <v>-7.5525099999999998</v>
      </c>
      <c r="K68" s="106">
        <v>-5.8263499999999997</v>
      </c>
      <c r="L68" s="106">
        <v>-5.1269999999999998</v>
      </c>
    </row>
    <row r="69" spans="2:12" x14ac:dyDescent="0.2">
      <c r="B69" s="102" t="s">
        <v>204</v>
      </c>
      <c r="C69" s="107">
        <v>4.6409500000000001</v>
      </c>
      <c r="D69" s="108">
        <v>-5.2546030000000004</v>
      </c>
      <c r="E69" s="108">
        <v>-5.9227819999999998</v>
      </c>
      <c r="F69" s="108">
        <v>-9.7956420000000008</v>
      </c>
      <c r="G69" s="108">
        <v>-13.791095</v>
      </c>
      <c r="H69" s="108">
        <v>-12.378045</v>
      </c>
      <c r="I69" s="108">
        <v>-9.6482250000000001</v>
      </c>
      <c r="J69" s="108">
        <v>-12.288652000000001</v>
      </c>
      <c r="K69" s="108">
        <v>-10.624877</v>
      </c>
      <c r="L69" s="108">
        <v>-10.598312</v>
      </c>
    </row>
    <row r="70" spans="2:12" x14ac:dyDescent="0.2">
      <c r="B70" s="5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Agenda</vt:lpstr>
      <vt:lpstr>Summary</vt:lpstr>
      <vt:lpstr>Comps</vt:lpstr>
      <vt:lpstr>52 week share price</vt:lpstr>
      <vt:lpstr>DCF model</vt:lpstr>
      <vt:lpstr>INPUT&gt;&gt;</vt:lpstr>
      <vt:lpstr>WACC</vt:lpstr>
      <vt:lpstr>Estimates IS</vt:lpstr>
      <vt:lpstr>IS</vt:lpstr>
      <vt:lpstr>BS</vt:lpstr>
      <vt:lpstr>D</vt:lpstr>
      <vt:lpstr>D_perc</vt:lpstr>
      <vt:lpstr>E</vt:lpstr>
      <vt:lpstr>E_perc</vt:lpstr>
      <vt:lpstr>kd</vt:lpstr>
      <vt:lpstr>ke</vt:lpstr>
      <vt:lpstr>'52 week share price'!Print_Area</vt:lpstr>
      <vt:lpstr>Comps!Print_Area</vt:lpstr>
      <vt:lpstr>'DCF model'!Print_Area</vt:lpstr>
      <vt:lpstr>scen</vt:lpstr>
      <vt:lpstr>Tax_shield</vt:lpstr>
      <vt:lpstr>Tax_shielf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Manfredi</dc:creator>
  <cp:lastModifiedBy>Pietro Manfredi</cp:lastModifiedBy>
  <dcterms:created xsi:type="dcterms:W3CDTF">2025-11-26T02:28:25Z</dcterms:created>
  <dcterms:modified xsi:type="dcterms:W3CDTF">2026-01-07T19:49:53Z</dcterms:modified>
</cp:coreProperties>
</file>